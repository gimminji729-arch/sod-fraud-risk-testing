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Risk Assessment" sheetId="2" state="visible" r:id="rId4"/>
    <sheet name="Heat Map" sheetId="3" state="visible" r:id="rId5"/>
    <sheet name="Test Results" sheetId="4" state="visible" r:id="rId6"/>
    <sheet name="RCM" sheetId="5" state="visible" r:id="rId7"/>
    <sheet name="Finding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<sst xmlns="http://schemas.openxmlformats.org/spreadsheetml/2006/main" count="460" uniqueCount="303">
  <si>
    <t xml:space="preserve">Risk Assessment &amp; Risk and Control Matrix</t>
  </si>
  <si>
    <t xml:space="preserve">Transaction-Level SoD &amp; Fraud Risk Testing</t>
  </si>
  <si>
    <t xml:space="preserve">Entity</t>
  </si>
  <si>
    <t xml:space="preserve">Haneul Freight &amp; Logistics (fictional)</t>
  </si>
  <si>
    <t xml:space="preserve">Audit period</t>
  </si>
  <si>
    <t xml:space="preserve">2026-01-02 to 2026-03-31 (Q1 2026)</t>
  </si>
  <si>
    <t xml:space="preserve">Scope</t>
  </si>
  <si>
    <t xml:space="preserve">Claims, delivery exceptions, inventory adjustments, shipment status data, claim-related system configuration</t>
  </si>
  <si>
    <t xml:space="preserve">Frameworks</t>
  </si>
  <si>
    <t xml:space="preserve">COSO 2013 Internal Control – Principles 8, 10, 11, 13, 16</t>
  </si>
  <si>
    <t xml:space="preserve">Data</t>
  </si>
  <si>
    <t xml:space="preserve">Synthetic SQLite database (haneul_logistics_audit.db). No real company data.</t>
  </si>
  <si>
    <t xml:space="preserve">Test queries</t>
  </si>
  <si>
    <t xml:space="preserve">queries.sql (T1–T10)</t>
  </si>
  <si>
    <t xml:space="preserve">Prepared by</t>
  </si>
  <si>
    <t xml:space="preserve">Minji Kim</t>
  </si>
  <si>
    <t xml:space="preserve">Rating thresholds (score = likelihood × impact)</t>
  </si>
  <si>
    <t xml:space="preserve">High if score ≥</t>
  </si>
  <si>
    <t xml:space="preserve">Referenced by all rating formulas. Change here to re-rate every risk.</t>
  </si>
  <si>
    <t xml:space="preserve">Medium if score ≥</t>
  </si>
  <si>
    <t xml:space="preserve">Scores below this threshold are Low.</t>
  </si>
  <si>
    <t xml:space="preserve">Likelihood scale</t>
  </si>
  <si>
    <t xml:space="preserve">Rare – not expected in the audit period</t>
  </si>
  <si>
    <t xml:space="preserve">Unlikely – could occur, no indicators</t>
  </si>
  <si>
    <t xml:space="preserve">Possible – control weakness allows it; isolated indicators</t>
  </si>
  <si>
    <t xml:space="preserve">Likely – control weakness exploited or repeated indicators</t>
  </si>
  <si>
    <t xml:space="preserve">Almost certain – pattern observed across the period</t>
  </si>
  <si>
    <t xml:space="preserve">Impact scale (quarterly, KRW)</t>
  </si>
  <si>
    <t xml:space="preserve">Minimal – under 500,000 or no financial effect</t>
  </si>
  <si>
    <t xml:space="preserve">Minor – 500,000 to 2,000,000, or internal reporting error</t>
  </si>
  <si>
    <t xml:space="preserve">Moderate – 2,000,000 to 5,000,000, or external reporting / customer impact</t>
  </si>
  <si>
    <t xml:space="preserve">Major – 5,000,000 to 15,000,000</t>
  </si>
  <si>
    <t xml:space="preserve">Severe – over 15,000,000, or control environment compromised</t>
  </si>
  <si>
    <t xml:space="preserve">Legend</t>
  </si>
  <si>
    <t xml:space="preserve">Blue text</t>
  </si>
  <si>
    <t xml:space="preserve">Auditor judgement or value taken from query results (input)</t>
  </si>
  <si>
    <t xml:space="preserve">Black text</t>
  </si>
  <si>
    <t xml:space="preserve">Formula</t>
  </si>
  <si>
    <t xml:space="preserve">Green text</t>
  </si>
  <si>
    <t xml:space="preserve">Formula pulling from another sheet</t>
  </si>
  <si>
    <t xml:space="preserve">Inherent risk</t>
  </si>
  <si>
    <t xml:space="preserve">Residual risk (current)</t>
  </si>
  <si>
    <t xml:space="preserve">Target residual (after remediation)</t>
  </si>
  <si>
    <t xml:space="preserve">Risk ID</t>
  </si>
  <si>
    <t xml:space="preserve">Process</t>
  </si>
  <si>
    <t xml:space="preserve">Risk description</t>
  </si>
  <si>
    <t xml:space="preserve">Fraud risk</t>
  </si>
  <si>
    <t xml:space="preserve">COSO</t>
  </si>
  <si>
    <t xml:space="preserve">Likelihood</t>
  </si>
  <si>
    <t xml:space="preserve">Impact</t>
  </si>
  <si>
    <t xml:space="preserve">Score</t>
  </si>
  <si>
    <t xml:space="preserve">Rating</t>
  </si>
  <si>
    <t xml:space="preserve">Primary control</t>
  </si>
  <si>
    <t xml:space="preserve">Control test result</t>
  </si>
  <si>
    <t xml:space="preserve">Basis for residual rating</t>
  </si>
  <si>
    <t xml:space="preserve">R-01</t>
  </si>
  <si>
    <t xml:space="preserve">Claims</t>
  </si>
  <si>
    <t xml:space="preserve">Fictitious loss or damage claim recorded and approved by the same person</t>
  </si>
  <si>
    <t xml:space="preserve">Y</t>
  </si>
  <si>
    <t xml:space="preserve">P8, P10</t>
  </si>
  <si>
    <t xml:space="preserve">C-01</t>
  </si>
  <si>
    <t xml:space="preserve">14 claims (11.7M KRW) recorded, closed and approved by one coordinator. Pattern across full quarter.</t>
  </si>
  <si>
    <t xml:space="preserve">R-02</t>
  </si>
  <si>
    <t xml:space="preserve">Approval limit circumvented by setting claim amounts just below the limit</t>
  </si>
  <si>
    <t xml:space="preserve">C-02</t>
  </si>
  <si>
    <t xml:space="preserve">40.9% of one approver's approvals sit near the limit; pattern followed the limit change.</t>
  </si>
  <si>
    <t xml:space="preserve">R-03</t>
  </si>
  <si>
    <t xml:space="preserve">Duplicate claim paid for the same shipment</t>
  </si>
  <si>
    <t xml:space="preserve">P10</t>
  </si>
  <si>
    <t xml:space="preserve">C-03</t>
  </si>
  <si>
    <t xml:space="preserve">Control worked when the manager approved; failed twice when a coordinator approved.</t>
  </si>
  <si>
    <t xml:space="preserve">R-04</t>
  </si>
  <si>
    <t xml:space="preserve">LOST claim paid for a shipment that was delivered</t>
  </si>
  <si>
    <t xml:space="preserve">C-04</t>
  </si>
  <si>
    <t xml:space="preserve">4 claims (2.3M KRW) on delivered shipments.</t>
  </si>
  <si>
    <t xml:space="preserve">R-05</t>
  </si>
  <si>
    <t xml:space="preserve">Exceptions</t>
  </si>
  <si>
    <t xml:space="preserve">LOST/DAMAGED exception closed without independent review</t>
  </si>
  <si>
    <t xml:space="preserve">C-05</t>
  </si>
  <si>
    <t xml:space="preserve">11 high-risk exceptions self-closed within 24h.</t>
  </si>
  <si>
    <t xml:space="preserve">R-06</t>
  </si>
  <si>
    <t xml:space="preserve">Inventory</t>
  </si>
  <si>
    <t xml:space="preserve">Inventory write-offs posted without independent approval, concealing loss or theft</t>
  </si>
  <si>
    <t xml:space="preserve">C-06</t>
  </si>
  <si>
    <t xml:space="preserve">11 adjustments (29.5M KRW), all involving the Warehouse Lead.</t>
  </si>
  <si>
    <t xml:space="preserve">R-07</t>
  </si>
  <si>
    <t xml:space="preserve">Shipment data</t>
  </si>
  <si>
    <t xml:space="preserve">Shipment status changed outside normal hours and oversight</t>
  </si>
  <si>
    <t xml:space="preserve">P10, P16</t>
  </si>
  <si>
    <t xml:space="preserve">C-07</t>
  </si>
  <si>
    <t xml:space="preserve">No monitoring control exists. 5 after-hours LOST changes.</t>
  </si>
  <si>
    <t xml:space="preserve">R-08</t>
  </si>
  <si>
    <t xml:space="preserve">Reporting</t>
  </si>
  <si>
    <t xml:space="preserve">Delivery performance overstated by marking shipments delivered without proof</t>
  </si>
  <si>
    <t xml:space="preserve">N</t>
  </si>
  <si>
    <t xml:space="preserve">P13</t>
  </si>
  <si>
    <t xml:space="preserve">C-08</t>
  </si>
  <si>
    <t xml:space="preserve">28 bulk DELIVERED updates without POD at quarter end.</t>
  </si>
  <si>
    <t xml:space="preserve">R-09</t>
  </si>
  <si>
    <t xml:space="preserve">IT / configuration</t>
  </si>
  <si>
    <t xml:space="preserve">Unauthorized configuration change disables a business process control</t>
  </si>
  <si>
    <t xml:space="preserve">P11</t>
  </si>
  <si>
    <t xml:space="preserve">C-09</t>
  </si>
  <si>
    <t xml:space="preserve">Limit raised 4x without ticket for 34 days; 8.1M KRW approved above authority.</t>
  </si>
  <si>
    <t xml:space="preserve">R-10</t>
  </si>
  <si>
    <t xml:space="preserve">Master data</t>
  </si>
  <si>
    <t xml:space="preserve">Customer created by staff who also process claims for that customer</t>
  </si>
  <si>
    <t xml:space="preserve">C-10</t>
  </si>
  <si>
    <t xml:space="preserve">Flagged customer onboarded by the approving coordinator after hours.</t>
  </si>
  <si>
    <t xml:space="preserve">Residual (current) reflects control test results: where the primary control is ineffective, residual risk stays at or above inherent risk. Target residual assumes the recommended controls in the audit report are implemented.</t>
  </si>
  <si>
    <t xml:space="preserve">Risk count by rating</t>
  </si>
  <si>
    <t xml:space="preserve">Inherent</t>
  </si>
  <si>
    <t xml:space="preserve">Residual</t>
  </si>
  <si>
    <t xml:space="preserve">Target</t>
  </si>
  <si>
    <t xml:space="preserve">High</t>
  </si>
  <si>
    <t xml:space="preserve">Medium</t>
  </si>
  <si>
    <t xml:space="preserve">Low</t>
  </si>
  <si>
    <t xml:space="preserve">Risk heat maps – number of risks per cell</t>
  </si>
  <si>
    <t xml:space="preserve">Likelihood ↓ / Impact →</t>
  </si>
  <si>
    <t xml:space="preserve">Cell colours follow the rating thresholds on the Cover sheet (High ≥ 15, Medium ≥ 8). Empty cells = no risks.</t>
  </si>
  <si>
    <t xml:space="preserve">Most risks move right or up from inherent to current residual because key controls failed testing.</t>
  </si>
  <si>
    <t xml:space="preserve">Test ID</t>
  </si>
  <si>
    <t xml:space="preserve">Rule</t>
  </si>
  <si>
    <t xml:space="preserve">Test description</t>
  </si>
  <si>
    <t xml:space="preserve">Query</t>
  </si>
  <si>
    <t xml:space="preserve">Population</t>
  </si>
  <si>
    <t xml:space="preserve">Population size</t>
  </si>
  <si>
    <t xml:space="preserve">Exception rate</t>
  </si>
  <si>
    <t xml:space="preserve">Amount affected (KRW)</t>
  </si>
  <si>
    <t xml:space="preserve">Individuals involved</t>
  </si>
  <si>
    <t xml:space="preserve">Notes</t>
  </si>
  <si>
    <t xml:space="preserve">T1</t>
  </si>
  <si>
    <t xml:space="preserve">R1</t>
  </si>
  <si>
    <t xml:space="preserve">Claim approved by the person who recorded the shipment as LOST/DAMAGED</t>
  </si>
  <si>
    <t xml:space="preserve">All claims</t>
  </si>
  <si>
    <t xml:space="preserve">E007 (14), E008 (1)</t>
  </si>
  <si>
    <t xml:space="preserve">E008 instance is a single low-value DAMAGED claim (142,100).</t>
  </si>
  <si>
    <t xml:space="preserve">T2</t>
  </si>
  <si>
    <t xml:space="preserve">R2</t>
  </si>
  <si>
    <t xml:space="preserve">Non-manager approvals at 90–100% of the limit in effect at approval</t>
  </si>
  <si>
    <t xml:space="preserve">Approved claims, non-manager approvers</t>
  </si>
  <si>
    <t xml:space="preserve">E007 (9), E008 (2)</t>
  </si>
  <si>
    <t xml:space="preserve">E007: 40.9% of own approvals near limit vs 14.3% for peer. Pattern moved with the limit change.</t>
  </si>
  <si>
    <t xml:space="preserve">T3</t>
  </si>
  <si>
    <t xml:space="preserve">R3</t>
  </si>
  <si>
    <t xml:space="preserve">More than one paid claim on the same shipment</t>
  </si>
  <si>
    <t xml:space="preserve">Shipments with at least one claim</t>
  </si>
  <si>
    <t xml:space="preserve">E007</t>
  </si>
  <si>
    <t xml:space="preserve">3 shipments had duplicates. 1 duplicate (E004) was rejected by the Ops Manager – control operated; excluded from exceptions.</t>
  </si>
  <si>
    <t xml:space="preserve">T4</t>
  </si>
  <si>
    <t xml:space="preserve">R4</t>
  </si>
  <si>
    <t xml:space="preserve">LOST claim on a shipment with proof of delivery</t>
  </si>
  <si>
    <t xml:space="preserve">Claims with claim_type = LOST</t>
  </si>
  <si>
    <t xml:space="preserve">4 claims on 3 shipments. Status history shows DELIVERED followed by LOST.</t>
  </si>
  <si>
    <t xml:space="preserve">T5</t>
  </si>
  <si>
    <t xml:space="preserve">R5</t>
  </si>
  <si>
    <t xml:space="preserve">LOST/DAMAGED exception registered and closed by the same person within 24h</t>
  </si>
  <si>
    <t xml:space="preserve">Closed exceptions</t>
  </si>
  <si>
    <t xml:space="preserve">Query returns 17; 6 low-risk (DELAY / ADDRESS_CORRECTION) self-closures by CS staff reported as an observation only.</t>
  </si>
  <si>
    <t xml:space="preserve">T6</t>
  </si>
  <si>
    <t xml:space="preserve">R6</t>
  </si>
  <si>
    <t xml:space="preserve">Inventory adjustment unapproved, self-approved, or approved below required authority</t>
  </si>
  <si>
    <t xml:space="preserve">All inventory adjustments</t>
  </si>
  <si>
    <t xml:space="preserve">E009 (all), E011 (3)</t>
  </si>
  <si>
    <t xml:space="preserve">5 no approval, 3 self-approved, 3 ≥ 1,000,000 approved by Warehouse Lead instead of Ops Manager.</t>
  </si>
  <si>
    <t xml:space="preserve">T7a</t>
  </si>
  <si>
    <t xml:space="preserve">R7</t>
  </si>
  <si>
    <t xml:space="preserve">LOST/DAMAGED status change on weekend or outside 08:00–19:00</t>
  </si>
  <si>
    <t xml:space="preserve">LOST/DAMAGED status records</t>
  </si>
  <si>
    <t xml:space="preserve">All between 22:00 and 23:00. Public holidays not considered (limitation).</t>
  </si>
  <si>
    <t xml:space="preserve">T7b</t>
  </si>
  <si>
    <t xml:space="preserve">DELIVERED status with no proof of delivery</t>
  </si>
  <si>
    <t xml:space="preserve">DELIVERED status records</t>
  </si>
  <si>
    <t xml:space="preserve">E008</t>
  </si>
  <si>
    <t xml:space="preserve">All 28 entered in 8 minutes on 2026-03-31 (quarter end). No payout involved.</t>
  </si>
  <si>
    <t xml:space="preserve">T8a</t>
  </si>
  <si>
    <t xml:space="preserve">R8</t>
  </si>
  <si>
    <t xml:space="preserve">Configuration change without an approved change ticket</t>
  </si>
  <si>
    <t xml:space="preserve">Configuration history records</t>
  </si>
  <si>
    <t xml:space="preserve">CFG-004: approval limit 500,000 → 2,000,000 on 2026-02-16 22:41 (public holiday). Reverted by IT on 2026-03-23.</t>
  </si>
  <si>
    <t xml:space="preserve">T8b</t>
  </si>
  <si>
    <t xml:space="preserve">R2, R8</t>
  </si>
  <si>
    <t xml:space="preserve">Claims above the authorized 500,000 limit approved by non-managers during the unauthorized window</t>
  </si>
  <si>
    <t xml:space="preserve">Non-manager approvals during window</t>
  </si>
  <si>
    <t xml:space="preserve">E007 (5), E008 (1)</t>
  </si>
  <si>
    <t xml:space="preserve">E008 claim (680,000) likely approved in good faith under the altered setting.</t>
  </si>
  <si>
    <t xml:space="preserve">A1</t>
  </si>
  <si>
    <t xml:space="preserve">–</t>
  </si>
  <si>
    <t xml:space="preserve">Customers receiving T1 claims onboarded by an employee involved in those claims</t>
  </si>
  <si>
    <t xml:space="preserve">T10</t>
  </si>
  <si>
    <t xml:space="preserve">Customers with T1 claims</t>
  </si>
  <si>
    <t xml:space="preserve">CUST-024 onboarded by E007 on 2025-12-29 19:47. Customer master is normally maintained by CS Lead.</t>
  </si>
  <si>
    <t xml:space="preserve">Note: amounts overlap across tests (the same claim can fail several tests) and must not be added together. Source: query results from queries.sql run against haneul_logistics_audit.db.</t>
  </si>
  <si>
    <t xml:space="preserve">Tests with exceptions</t>
  </si>
  <si>
    <t xml:space="preserve">Total exceptions (count)</t>
  </si>
  <si>
    <t xml:space="preserve">Control ID</t>
  </si>
  <si>
    <t xml:space="preserve">Control objective</t>
  </si>
  <si>
    <t xml:space="preserve">Control description</t>
  </si>
  <si>
    <t xml:space="preserve">Control owner</t>
  </si>
  <si>
    <t xml:space="preserve">Type</t>
  </si>
  <si>
    <t xml:space="preserve">Nature</t>
  </si>
  <si>
    <t xml:space="preserve">Frequency</t>
  </si>
  <si>
    <t xml:space="preserve">Key control</t>
  </si>
  <si>
    <t xml:space="preserve">Design assessment</t>
  </si>
  <si>
    <t xml:space="preserve">Test procedure</t>
  </si>
  <si>
    <t xml:space="preserve">Test result</t>
  </si>
  <si>
    <t xml:space="preserve">Finding</t>
  </si>
  <si>
    <t xml:space="preserve">Claims are approved by someone independent of the person who recorded the loss or damage.</t>
  </si>
  <si>
    <t xml:space="preserve">System prevents the user who recorded a LOST/DAMAGED status from approving the related claim.</t>
  </si>
  <si>
    <t xml:space="preserve">Operations Manager</t>
  </si>
  <si>
    <t xml:space="preserve">Preventive</t>
  </si>
  <si>
    <t xml:space="preserve">Automated</t>
  </si>
  <si>
    <t xml:space="preserve">Per transaction</t>
  </si>
  <si>
    <t xml:space="preserve">Yes</t>
  </si>
  <si>
    <t xml:space="preserve">Design deficiency</t>
  </si>
  <si>
    <t xml:space="preserve">Join claims to the status audit trail on shipment_id. Identify claims where the LOST/DAMAGED recorder equals the approver.</t>
  </si>
  <si>
    <t xml:space="preserve">F1</t>
  </si>
  <si>
    <t xml:space="preserve">Claims above the non-manager limit are approved by the Operations Manager.</t>
  </si>
  <si>
    <t xml:space="preserve">System routes claims above CLAIM_APPROVAL_LIMIT_NON_MANAGER to the Operations Manager.</t>
  </si>
  <si>
    <t xml:space="preserve">Designed</t>
  </si>
  <si>
    <t xml:space="preserve">Join each approved claim to the limit in effect at approval time. Identify non-manager approvals at 90–100% of that limit and compare rates by approver.</t>
  </si>
  <si>
    <t xml:space="preserve">F1, F2</t>
  </si>
  <si>
    <t xml:space="preserve">Each shipment is compensated only once.</t>
  </si>
  <si>
    <t xml:space="preserve">Approver checks for existing claims on the shipment before approval.</t>
  </si>
  <si>
    <t xml:space="preserve">Claim approver</t>
  </si>
  <si>
    <t xml:space="preserve">Manual</t>
  </si>
  <si>
    <t xml:space="preserve">Group claims by shipment_id. Identify shipments with more than one paid claim. Inspect status of each duplicate.</t>
  </si>
  <si>
    <t xml:space="preserve">LOST claims are paid only for shipments not delivered.</t>
  </si>
  <si>
    <t xml:space="preserve">Approver confirms no proof of delivery exists before approving a LOST claim.</t>
  </si>
  <si>
    <t xml:space="preserve">IT-dependent manual</t>
  </si>
  <si>
    <t xml:space="preserve">Join LOST claims to proof_of_delivery. Identify claims where a POD exists. Walk through status history for each.</t>
  </si>
  <si>
    <t xml:space="preserve">LOST/DAMAGED exceptions are reviewed by someone other than the registrant.</t>
  </si>
  <si>
    <t xml:space="preserve">Exceptions of type LOST or DAMAGED are closed by the Operations Manager or another coordinator.</t>
  </si>
  <si>
    <t xml:space="preserve">Identify exceptions where registered_by = closed_by and time to close ≤ 24h. Classify by exception type.</t>
  </si>
  <si>
    <t xml:space="preserve">Inventory write-offs are authorized before posting.</t>
  </si>
  <si>
    <t xml:space="preserve">Adjustments require approval by someone other than the adjuster; adjustments ≥ 1,000,000 KRW require the Operations Manager.</t>
  </si>
  <si>
    <t xml:space="preserve">Warehouse Lead / Operations Manager</t>
  </si>
  <si>
    <t xml:space="preserve">Calculate adjustment value (qty × unit cost). Identify unapproved, self-approved, and under-authorized adjustments.</t>
  </si>
  <si>
    <t xml:space="preserve">F3</t>
  </si>
  <si>
    <t xml:space="preserve">Unusual changes to shipment status are detected and reviewed.</t>
  </si>
  <si>
    <t xml:space="preserve">No control in place. Proposed: weekly review of LOST/DAMAGED status changes made outside business hours or by non-dispatch staff.</t>
  </si>
  <si>
    <t xml:space="preserve">Operations Manager (proposed)</t>
  </si>
  <si>
    <t xml:space="preserve">Detective</t>
  </si>
  <si>
    <t xml:space="preserve">Weekly</t>
  </si>
  <si>
    <t xml:space="preserve">Not designed</t>
  </si>
  <si>
    <t xml:space="preserve">Identify LOST/DAMAGED status changes on weekends or outside 08:00–19:00.</t>
  </si>
  <si>
    <t xml:space="preserve">Delivery status is supported by evidence.</t>
  </si>
  <si>
    <t xml:space="preserve">System requires a POD record before a shipment can be set to DELIVERED.</t>
  </si>
  <si>
    <t xml:space="preserve">Dispatch</t>
  </si>
  <si>
    <t xml:space="preserve">Identify DELIVERED records with no POD. Group by user and hour to detect bulk updates.</t>
  </si>
  <si>
    <t xml:space="preserve">F4</t>
  </si>
  <si>
    <t xml:space="preserve">Configuration changes are authorized, tested, and made by IT.</t>
  </si>
  <si>
    <t xml:space="preserve">Changes to system parameters require an approved change ticket and are made only by the IT Administrator.</t>
  </si>
  <si>
    <t xml:space="preserve">IT Administrator</t>
  </si>
  <si>
    <t xml:space="preserve">Per change</t>
  </si>
  <si>
    <t xml:space="preserve">Identify configuration records with no ticket or ticket approval. Quantify claims approved above the authorized limit while the change was active (T8b).</t>
  </si>
  <si>
    <t xml:space="preserve">F2</t>
  </si>
  <si>
    <t xml:space="preserve">Customer master records are created independently of claim processing.</t>
  </si>
  <si>
    <t xml:space="preserve">New customers are created by the CS Lead and reviewed monthly by the Operations Manager.</t>
  </si>
  <si>
    <t xml:space="preserve">CS Lead</t>
  </si>
  <si>
    <t xml:space="preserve">No</t>
  </si>
  <si>
    <t xml:space="preserve">For customers receiving T1 claims, identify who onboarded the customer and when.</t>
  </si>
  <si>
    <t xml:space="preserve">Design assessment: Designed = control exists as described · Design deficiency = system does not enforce the control · Not designed = no control exists (gap).</t>
  </si>
  <si>
    <t xml:space="preserve">Test result is a formula: Control gap if not designed, otherwise Ineffective if any exception exists.</t>
  </si>
  <si>
    <t xml:space="preserve">Summary</t>
  </si>
  <si>
    <t xml:space="preserve">Effective</t>
  </si>
  <si>
    <t xml:space="preserve">Ineffective</t>
  </si>
  <si>
    <t xml:space="preserve">Control gap</t>
  </si>
  <si>
    <t xml:space="preserve">Ref</t>
  </si>
  <si>
    <t xml:space="preserve">Risks</t>
  </si>
  <si>
    <t xml:space="preserve">Controls</t>
  </si>
  <si>
    <t xml:space="preserve">Tests</t>
  </si>
  <si>
    <t xml:space="preserve">Amount (KRW)</t>
  </si>
  <si>
    <t xml:space="preserve">Individuals</t>
  </si>
  <si>
    <t xml:space="preserve">Key recommendation</t>
  </si>
  <si>
    <t xml:space="preserve">Owner</t>
  </si>
  <si>
    <t xml:space="preserve">Target date</t>
  </si>
  <si>
    <t xml:space="preserve">Single-person control over the loss-claim cycle</t>
  </si>
  <si>
    <t xml:space="preserve">R-01–R-05, R-07, R-10</t>
  </si>
  <si>
    <t xml:space="preserve">C-01, C-02, C-03, C-04, C-05, C-07, C-10</t>
  </si>
  <si>
    <t xml:space="preserve">T1, T2, T3, T4, T5, T7a, A1</t>
  </si>
  <si>
    <t xml:space="preserve">Refer 14 claims for investigation. Block same-user recording and approval in the system. Require POD and duplicate checks before approval. Monthly manager review of coordinator-approved claims.</t>
  </si>
  <si>
    <t xml:space="preserve">2026-05-31</t>
  </si>
  <si>
    <t xml:space="preserve">Unauthorized change to the claim approval limit</t>
  </si>
  <si>
    <t xml:space="preserve">R-02, R-09</t>
  </si>
  <si>
    <t xml:space="preserve">C-02, C-09</t>
  </si>
  <si>
    <t xml:space="preserve">T8a, T8b</t>
  </si>
  <si>
    <t xml:space="preserve">E007, E008</t>
  </si>
  <si>
    <t xml:space="preserve">Remove configuration rights from operations roles. Enforce ticket approval for all parameter changes. Alert IT on any change to approval parameters.</t>
  </si>
  <si>
    <t xml:space="preserve">2026-04-30</t>
  </si>
  <si>
    <t xml:space="preserve">Inventory write-offs without effective approval</t>
  </si>
  <si>
    <t xml:space="preserve">E009, E011</t>
  </si>
  <si>
    <t xml:space="preserve">Physically verify the 11 written-off items. Configure approval-before-posting workflow with automatic routing above threshold and self-approval block.</t>
  </si>
  <si>
    <t xml:space="preserve">Bulk DELIVERED updates without proof of delivery</t>
  </si>
  <si>
    <t xml:space="preserve">Confirm actual delivery of the 28 shipments. Require POD before DELIVERED status. Add exception report to quarter-end KPI sign-off.</t>
  </si>
  <si>
    <t xml:space="preserve">Dispatch / Operations Manager</t>
  </si>
  <si>
    <t xml:space="preserve">2026-06-30</t>
  </si>
  <si>
    <t xml:space="preserve">O1</t>
  </si>
  <si>
    <t xml:space="preserve">Low-risk exceptions self-closed by CS staff (observation)</t>
  </si>
  <si>
    <t xml:space="preserve">E003, E004, E006</t>
  </si>
  <si>
    <t xml:space="preserve">Formalize policy allowing self-closure for DELAY and ADDRESS_CORRECTION only.</t>
  </si>
  <si>
    <t xml:space="preserve">Target dates are illustrative (fictional scenario). F1 amount covers E007's 14 claims; one additional low-value SoD instance (142,100) by another coordinator is noted in the report. F1 and F2 amounts partly overlap.</t>
  </si>
  <si>
    <t xml:space="preserve">Findings by rating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</si>
</sst>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;\-0;&quot;&quot;"/>
    <numFmt numFmtId="167" formatCode="#,##0"/>
    <numFmt numFmtId="168" formatCode="0.0%"/>
    <numFmt numFmtId="169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1F3A5F"/>
      </patternFill>
    </fill>
    <fill>
      <patternFill patternType="solid">
        <fgColor rgb="FF1F3A5F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7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  <c r="D5" s="4"/>
    </row>
    <row r="6" customFormat="false" ht="15" hidden="false" customHeight="false" outlineLevel="0" collapsed="false">
      <c r="B6" s="3" t="s">
        <v>4</v>
      </c>
      <c r="C6" s="4" t="s">
        <v>5</v>
      </c>
      <c r="D6" s="4"/>
    </row>
    <row r="7" customFormat="false" ht="15" hidden="false" customHeight="false" outlineLevel="0" collapsed="false">
      <c r="B7" s="3" t="s">
        <v>6</v>
      </c>
      <c r="C7" s="4" t="s">
        <v>7</v>
      </c>
      <c r="D7" s="4"/>
    </row>
    <row r="8" customFormat="false" ht="15" hidden="false" customHeight="false" outlineLevel="0" collapsed="false">
      <c r="B8" s="3" t="s">
        <v>8</v>
      </c>
      <c r="C8" s="4" t="s">
        <v>9</v>
      </c>
      <c r="D8" s="4"/>
    </row>
    <row r="9" customFormat="false" ht="15" hidden="false" customHeight="false" outlineLevel="0" collapsed="false">
      <c r="B9" s="3" t="s">
        <v>10</v>
      </c>
      <c r="C9" s="4" t="s">
        <v>11</v>
      </c>
      <c r="D9" s="4"/>
    </row>
    <row r="10" customFormat="false" ht="15" hidden="false" customHeight="false" outlineLevel="0" collapsed="false">
      <c r="B10" s="3" t="s">
        <v>12</v>
      </c>
      <c r="C10" s="4" t="s">
        <v>13</v>
      </c>
      <c r="D10" s="4"/>
    </row>
    <row r="11" customFormat="false" ht="15" hidden="false" customHeight="false" outlineLevel="0" collapsed="false">
      <c r="B11" s="3" t="s">
        <v>14</v>
      </c>
      <c r="C11" s="4" t="s">
        <v>15</v>
      </c>
      <c r="D11" s="4"/>
    </row>
    <row r="13" customFormat="false" ht="15" hidden="false" customHeight="false" outlineLevel="0" collapsed="false">
      <c r="B13" s="5" t="s">
        <v>16</v>
      </c>
    </row>
    <row r="14" customFormat="false" ht="15" hidden="false" customHeight="false" outlineLevel="0" collapsed="false">
      <c r="B14" s="3" t="s">
        <v>17</v>
      </c>
      <c r="C14" s="6" t="n">
        <v>15</v>
      </c>
      <c r="D14" s="7" t="s">
        <v>18</v>
      </c>
    </row>
    <row r="15" customFormat="false" ht="15" hidden="false" customHeight="false" outlineLevel="0" collapsed="false">
      <c r="B15" s="3" t="s">
        <v>19</v>
      </c>
      <c r="C15" s="6" t="n">
        <v>8</v>
      </c>
      <c r="D15" s="7" t="s">
        <v>20</v>
      </c>
    </row>
    <row r="17" customFormat="false" ht="15" hidden="false" customHeight="false" outlineLevel="0" collapsed="false">
      <c r="B17" s="5" t="s">
        <v>21</v>
      </c>
    </row>
    <row r="18" customFormat="false" ht="15" hidden="false" customHeight="false" outlineLevel="0" collapsed="false">
      <c r="B18" s="7" t="n">
        <v>1</v>
      </c>
      <c r="C18" s="4" t="s">
        <v>22</v>
      </c>
      <c r="D18" s="4"/>
    </row>
    <row r="19" customFormat="false" ht="15" hidden="false" customHeight="false" outlineLevel="0" collapsed="false">
      <c r="B19" s="7" t="n">
        <v>2</v>
      </c>
      <c r="C19" s="4" t="s">
        <v>23</v>
      </c>
      <c r="D19" s="4"/>
    </row>
    <row r="20" customFormat="false" ht="15" hidden="false" customHeight="false" outlineLevel="0" collapsed="false">
      <c r="B20" s="7" t="n">
        <v>3</v>
      </c>
      <c r="C20" s="4" t="s">
        <v>24</v>
      </c>
      <c r="D20" s="4"/>
    </row>
    <row r="21" customFormat="false" ht="15" hidden="false" customHeight="false" outlineLevel="0" collapsed="false">
      <c r="B21" s="7" t="n">
        <v>4</v>
      </c>
      <c r="C21" s="4" t="s">
        <v>25</v>
      </c>
      <c r="D21" s="4"/>
    </row>
    <row r="22" customFormat="false" ht="15" hidden="false" customHeight="false" outlineLevel="0" collapsed="false">
      <c r="B22" s="7" t="n">
        <v>5</v>
      </c>
      <c r="C22" s="4" t="s">
        <v>26</v>
      </c>
      <c r="D22" s="4"/>
    </row>
    <row r="24" customFormat="false" ht="15" hidden="false" customHeight="false" outlineLevel="0" collapsed="false">
      <c r="B24" s="5" t="s">
        <v>27</v>
      </c>
    </row>
    <row r="25" customFormat="false" ht="15" hidden="false" customHeight="false" outlineLevel="0" collapsed="false">
      <c r="B25" s="7" t="n">
        <v>1</v>
      </c>
      <c r="C25" s="4" t="s">
        <v>28</v>
      </c>
      <c r="D25" s="4"/>
    </row>
    <row r="26" customFormat="false" ht="15" hidden="false" customHeight="false" outlineLevel="0" collapsed="false">
      <c r="B26" s="7" t="n">
        <v>2</v>
      </c>
      <c r="C26" s="4" t="s">
        <v>29</v>
      </c>
      <c r="D26" s="4"/>
    </row>
    <row r="27" customFormat="false" ht="15" hidden="false" customHeight="false" outlineLevel="0" collapsed="false">
      <c r="B27" s="7" t="n">
        <v>3</v>
      </c>
      <c r="C27" s="4" t="s">
        <v>30</v>
      </c>
      <c r="D27" s="4"/>
    </row>
    <row r="28" customFormat="false" ht="15" hidden="false" customHeight="false" outlineLevel="0" collapsed="false">
      <c r="B28" s="7" t="n">
        <v>4</v>
      </c>
      <c r="C28" s="4" t="s">
        <v>31</v>
      </c>
      <c r="D28" s="4"/>
    </row>
    <row r="29" customFormat="false" ht="15" hidden="false" customHeight="false" outlineLevel="0" collapsed="false">
      <c r="B29" s="7" t="n">
        <v>5</v>
      </c>
      <c r="C29" s="4" t="s">
        <v>32</v>
      </c>
      <c r="D29" s="4"/>
    </row>
    <row r="31" customFormat="false" ht="15" hidden="false" customHeight="false" outlineLevel="0" collapsed="false">
      <c r="B31" s="5" t="s">
        <v>33</v>
      </c>
    </row>
    <row r="32" customFormat="false" ht="15" hidden="false" customHeight="false" outlineLevel="0" collapsed="false">
      <c r="B32" s="8" t="s">
        <v>34</v>
      </c>
      <c r="C32" s="4" t="s">
        <v>35</v>
      </c>
      <c r="D32" s="4"/>
    </row>
    <row r="33" customFormat="false" ht="15" hidden="false" customHeight="false" outlineLevel="0" collapsed="false">
      <c r="B33" s="7" t="s">
        <v>36</v>
      </c>
      <c r="C33" s="4" t="s">
        <v>37</v>
      </c>
      <c r="D33" s="4"/>
    </row>
    <row r="34" customFormat="false" ht="15" hidden="false" customHeight="false" outlineLevel="0" collapsed="false">
      <c r="B34" s="9" t="s">
        <v>38</v>
      </c>
      <c r="C34" s="4" t="s">
        <v>39</v>
      </c>
      <c r="D34" s="4"/>
    </row>
  </sheetData>
  <mergeCells count="20">
    <mergeCell ref="C5:D5"/>
    <mergeCell ref="C6:D6"/>
    <mergeCell ref="C7:D7"/>
    <mergeCell ref="C8:D8"/>
    <mergeCell ref="C9:D9"/>
    <mergeCell ref="C10:D10"/>
    <mergeCell ref="C11:D11"/>
    <mergeCell ref="C18:D18"/>
    <mergeCell ref="C19:D19"/>
    <mergeCell ref="C20:D20"/>
    <mergeCell ref="C21:D21"/>
    <mergeCell ref="C22:D22"/>
    <mergeCell ref="C25:D25"/>
    <mergeCell ref="C26:D26"/>
    <mergeCell ref="C27:D27"/>
    <mergeCell ref="C28:D28"/>
    <mergeCell ref="C29:D29"/>
    <mergeCell ref="C32:D32"/>
    <mergeCell ref="C33:D33"/>
    <mergeCell ref="C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7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7"/>
    <col collapsed="false" customWidth="true" hidden="false" outlineLevel="0" max="18" min="18" style="0" width="9"/>
    <col collapsed="false" customWidth="true" hidden="false" outlineLevel="0" max="19" min="19" style="0" width="14"/>
    <col collapsed="false" customWidth="true" hidden="false" outlineLevel="0" max="20" min="20" style="0" width="48"/>
  </cols>
  <sheetData>
    <row r="1" customFormat="false" ht="15" hidden="false" customHeight="true" outlineLevel="0" collapsed="false">
      <c r="F1" s="10" t="s">
        <v>40</v>
      </c>
      <c r="G1" s="10"/>
      <c r="H1" s="10"/>
      <c r="I1" s="10"/>
      <c r="K1" s="10" t="s">
        <v>41</v>
      </c>
      <c r="L1" s="10"/>
      <c r="M1" s="10"/>
      <c r="N1" s="10"/>
      <c r="O1" s="10" t="s">
        <v>42</v>
      </c>
      <c r="P1" s="10"/>
      <c r="Q1" s="10"/>
      <c r="R1" s="10"/>
    </row>
    <row r="2" customFormat="false" ht="31.5" hidden="false" customHeight="true" outlineLevel="0" collapsed="false">
      <c r="A2" s="11" t="s">
        <v>43</v>
      </c>
      <c r="B2" s="11" t="s">
        <v>44</v>
      </c>
      <c r="C2" s="11" t="s">
        <v>45</v>
      </c>
      <c r="D2" s="11" t="s">
        <v>46</v>
      </c>
      <c r="E2" s="11" t="s">
        <v>47</v>
      </c>
      <c r="F2" s="11" t="s">
        <v>48</v>
      </c>
      <c r="G2" s="11" t="s">
        <v>49</v>
      </c>
      <c r="H2" s="11" t="s">
        <v>50</v>
      </c>
      <c r="I2" s="11" t="s">
        <v>51</v>
      </c>
      <c r="J2" s="11" t="s">
        <v>52</v>
      </c>
      <c r="K2" s="11" t="s">
        <v>48</v>
      </c>
      <c r="L2" s="11" t="s">
        <v>49</v>
      </c>
      <c r="M2" s="11" t="s">
        <v>50</v>
      </c>
      <c r="N2" s="11" t="s">
        <v>51</v>
      </c>
      <c r="O2" s="11" t="s">
        <v>48</v>
      </c>
      <c r="P2" s="11" t="s">
        <v>49</v>
      </c>
      <c r="Q2" s="11" t="s">
        <v>50</v>
      </c>
      <c r="R2" s="11" t="s">
        <v>51</v>
      </c>
      <c r="S2" s="11" t="s">
        <v>53</v>
      </c>
      <c r="T2" s="11" t="s">
        <v>54</v>
      </c>
    </row>
    <row r="3" customFormat="false" ht="23.85" hidden="false" customHeight="false" outlineLevel="0" collapsed="false">
      <c r="A3" s="12" t="s">
        <v>55</v>
      </c>
      <c r="B3" s="13" t="s">
        <v>56</v>
      </c>
      <c r="C3" s="13" t="s">
        <v>57</v>
      </c>
      <c r="D3" s="14" t="s">
        <v>58</v>
      </c>
      <c r="E3" s="14" t="s">
        <v>59</v>
      </c>
      <c r="F3" s="15" t="n">
        <v>4</v>
      </c>
      <c r="G3" s="15" t="n">
        <v>5</v>
      </c>
      <c r="H3" s="14" t="n">
        <f aca="false">F3*G3</f>
        <v>20</v>
      </c>
      <c r="I3" s="14" t="str">
        <f aca="false">IF(H3&gt;=Cover!$C$14,"High",IF(H3&gt;=Cover!$C$15,"Medium","Low"))</f>
        <v>High</v>
      </c>
      <c r="J3" s="14" t="s">
        <v>60</v>
      </c>
      <c r="K3" s="15" t="n">
        <v>4</v>
      </c>
      <c r="L3" s="15" t="n">
        <v>5</v>
      </c>
      <c r="M3" s="14" t="n">
        <f aca="false">K3*L3</f>
        <v>20</v>
      </c>
      <c r="N3" s="14" t="str">
        <f aca="false">IF(M3&gt;=Cover!$C$14,"High",IF(M3&gt;=Cover!$C$15,"Medium","Low"))</f>
        <v>High</v>
      </c>
      <c r="O3" s="15" t="n">
        <v>2</v>
      </c>
      <c r="P3" s="15" t="n">
        <v>3</v>
      </c>
      <c r="Q3" s="14" t="n">
        <f aca="false">O3*P3</f>
        <v>6</v>
      </c>
      <c r="R3" s="14" t="str">
        <f aca="false">IF(Q3&gt;=Cover!$C$14,"High",IF(Q3&gt;=Cover!$C$15,"Medium","Low"))</f>
        <v>Low</v>
      </c>
      <c r="S3" s="16" t="str">
        <f aca="false">INDEX(RCM!$O$2:$O$11,MATCH(J3,RCM!$A$2:$A$11,0))</f>
        <v>Ineffective</v>
      </c>
      <c r="T3" s="13" t="s">
        <v>61</v>
      </c>
    </row>
    <row r="4" customFormat="false" ht="23.85" hidden="false" customHeight="false" outlineLevel="0" collapsed="false">
      <c r="A4" s="12" t="s">
        <v>62</v>
      </c>
      <c r="B4" s="13" t="s">
        <v>56</v>
      </c>
      <c r="C4" s="13" t="s">
        <v>63</v>
      </c>
      <c r="D4" s="14" t="s">
        <v>58</v>
      </c>
      <c r="E4" s="14" t="s">
        <v>59</v>
      </c>
      <c r="F4" s="15" t="n">
        <v>3</v>
      </c>
      <c r="G4" s="15" t="n">
        <v>4</v>
      </c>
      <c r="H4" s="14" t="n">
        <f aca="false">F4*G4</f>
        <v>12</v>
      </c>
      <c r="I4" s="14" t="str">
        <f aca="false">IF(H4&gt;=Cover!$C$14,"High",IF(H4&gt;=Cover!$C$15,"Medium","Low"))</f>
        <v>Medium</v>
      </c>
      <c r="J4" s="14" t="s">
        <v>64</v>
      </c>
      <c r="K4" s="15" t="n">
        <v>4</v>
      </c>
      <c r="L4" s="15" t="n">
        <v>4</v>
      </c>
      <c r="M4" s="14" t="n">
        <f aca="false">K4*L4</f>
        <v>16</v>
      </c>
      <c r="N4" s="14" t="str">
        <f aca="false">IF(M4&gt;=Cover!$C$14,"High",IF(M4&gt;=Cover!$C$15,"Medium","Low"))</f>
        <v>High</v>
      </c>
      <c r="O4" s="15" t="n">
        <v>2</v>
      </c>
      <c r="P4" s="15" t="n">
        <v>3</v>
      </c>
      <c r="Q4" s="14" t="n">
        <f aca="false">O4*P4</f>
        <v>6</v>
      </c>
      <c r="R4" s="14" t="str">
        <f aca="false">IF(Q4&gt;=Cover!$C$14,"High",IF(Q4&gt;=Cover!$C$15,"Medium","Low"))</f>
        <v>Low</v>
      </c>
      <c r="S4" s="16" t="str">
        <f aca="false">INDEX(RCM!$O$2:$O$11,MATCH(J4,RCM!$A$2:$A$11,0))</f>
        <v>Ineffective</v>
      </c>
      <c r="T4" s="13" t="s">
        <v>65</v>
      </c>
    </row>
    <row r="5" customFormat="false" ht="23.85" hidden="false" customHeight="false" outlineLevel="0" collapsed="false">
      <c r="A5" s="12" t="s">
        <v>66</v>
      </c>
      <c r="B5" s="13" t="s">
        <v>56</v>
      </c>
      <c r="C5" s="13" t="s">
        <v>67</v>
      </c>
      <c r="D5" s="14" t="s">
        <v>58</v>
      </c>
      <c r="E5" s="14" t="s">
        <v>68</v>
      </c>
      <c r="F5" s="15" t="n">
        <v>3</v>
      </c>
      <c r="G5" s="15" t="n">
        <v>3</v>
      </c>
      <c r="H5" s="14" t="n">
        <f aca="false">F5*G5</f>
        <v>9</v>
      </c>
      <c r="I5" s="14" t="str">
        <f aca="false">IF(H5&gt;=Cover!$C$14,"High",IF(H5&gt;=Cover!$C$15,"Medium","Low"))</f>
        <v>Medium</v>
      </c>
      <c r="J5" s="14" t="s">
        <v>69</v>
      </c>
      <c r="K5" s="15" t="n">
        <v>3</v>
      </c>
      <c r="L5" s="15" t="n">
        <v>3</v>
      </c>
      <c r="M5" s="14" t="n">
        <f aca="false">K5*L5</f>
        <v>9</v>
      </c>
      <c r="N5" s="14" t="str">
        <f aca="false">IF(M5&gt;=Cover!$C$14,"High",IF(M5&gt;=Cover!$C$15,"Medium","Low"))</f>
        <v>Medium</v>
      </c>
      <c r="O5" s="15" t="n">
        <v>1</v>
      </c>
      <c r="P5" s="15" t="n">
        <v>2</v>
      </c>
      <c r="Q5" s="14" t="n">
        <f aca="false">O5*P5</f>
        <v>2</v>
      </c>
      <c r="R5" s="14" t="str">
        <f aca="false">IF(Q5&gt;=Cover!$C$14,"High",IF(Q5&gt;=Cover!$C$15,"Medium","Low"))</f>
        <v>Low</v>
      </c>
      <c r="S5" s="16" t="str">
        <f aca="false">INDEX(RCM!$O$2:$O$11,MATCH(J5,RCM!$A$2:$A$11,0))</f>
        <v>Ineffective</v>
      </c>
      <c r="T5" s="13" t="s">
        <v>70</v>
      </c>
    </row>
    <row r="6" customFormat="false" ht="15" hidden="false" customHeight="false" outlineLevel="0" collapsed="false">
      <c r="A6" s="12" t="s">
        <v>71</v>
      </c>
      <c r="B6" s="13" t="s">
        <v>56</v>
      </c>
      <c r="C6" s="13" t="s">
        <v>72</v>
      </c>
      <c r="D6" s="14" t="s">
        <v>58</v>
      </c>
      <c r="E6" s="14" t="s">
        <v>68</v>
      </c>
      <c r="F6" s="15" t="n">
        <v>3</v>
      </c>
      <c r="G6" s="15" t="n">
        <v>4</v>
      </c>
      <c r="H6" s="14" t="n">
        <f aca="false">F6*G6</f>
        <v>12</v>
      </c>
      <c r="I6" s="14" t="str">
        <f aca="false">IF(H6&gt;=Cover!$C$14,"High",IF(H6&gt;=Cover!$C$15,"Medium","Low"))</f>
        <v>Medium</v>
      </c>
      <c r="J6" s="14" t="s">
        <v>73</v>
      </c>
      <c r="K6" s="15" t="n">
        <v>3</v>
      </c>
      <c r="L6" s="15" t="n">
        <v>4</v>
      </c>
      <c r="M6" s="14" t="n">
        <f aca="false">K6*L6</f>
        <v>12</v>
      </c>
      <c r="N6" s="14" t="str">
        <f aca="false">IF(M6&gt;=Cover!$C$14,"High",IF(M6&gt;=Cover!$C$15,"Medium","Low"))</f>
        <v>Medium</v>
      </c>
      <c r="O6" s="15" t="n">
        <v>1</v>
      </c>
      <c r="P6" s="15" t="n">
        <v>3</v>
      </c>
      <c r="Q6" s="14" t="n">
        <f aca="false">O6*P6</f>
        <v>3</v>
      </c>
      <c r="R6" s="14" t="str">
        <f aca="false">IF(Q6&gt;=Cover!$C$14,"High",IF(Q6&gt;=Cover!$C$15,"Medium","Low"))</f>
        <v>Low</v>
      </c>
      <c r="S6" s="16" t="str">
        <f aca="false">INDEX(RCM!$O$2:$O$11,MATCH(J6,RCM!$A$2:$A$11,0))</f>
        <v>Ineffective</v>
      </c>
      <c r="T6" s="13" t="s">
        <v>74</v>
      </c>
    </row>
    <row r="7" customFormat="false" ht="23.85" hidden="false" customHeight="false" outlineLevel="0" collapsed="false">
      <c r="A7" s="12" t="s">
        <v>75</v>
      </c>
      <c r="B7" s="13" t="s">
        <v>76</v>
      </c>
      <c r="C7" s="13" t="s">
        <v>77</v>
      </c>
      <c r="D7" s="14" t="s">
        <v>58</v>
      </c>
      <c r="E7" s="14" t="s">
        <v>68</v>
      </c>
      <c r="F7" s="15" t="n">
        <v>4</v>
      </c>
      <c r="G7" s="15" t="n">
        <v>3</v>
      </c>
      <c r="H7" s="14" t="n">
        <f aca="false">F7*G7</f>
        <v>12</v>
      </c>
      <c r="I7" s="14" t="str">
        <f aca="false">IF(H7&gt;=Cover!$C$14,"High",IF(H7&gt;=Cover!$C$15,"Medium","Low"))</f>
        <v>Medium</v>
      </c>
      <c r="J7" s="14" t="s">
        <v>78</v>
      </c>
      <c r="K7" s="15" t="n">
        <v>4</v>
      </c>
      <c r="L7" s="15" t="n">
        <v>3</v>
      </c>
      <c r="M7" s="14" t="n">
        <f aca="false">K7*L7</f>
        <v>12</v>
      </c>
      <c r="N7" s="14" t="str">
        <f aca="false">IF(M7&gt;=Cover!$C$14,"High",IF(M7&gt;=Cover!$C$15,"Medium","Low"))</f>
        <v>Medium</v>
      </c>
      <c r="O7" s="15" t="n">
        <v>2</v>
      </c>
      <c r="P7" s="15" t="n">
        <v>2</v>
      </c>
      <c r="Q7" s="14" t="n">
        <f aca="false">O7*P7</f>
        <v>4</v>
      </c>
      <c r="R7" s="14" t="str">
        <f aca="false">IF(Q7&gt;=Cover!$C$14,"High",IF(Q7&gt;=Cover!$C$15,"Medium","Low"))</f>
        <v>Low</v>
      </c>
      <c r="S7" s="16" t="str">
        <f aca="false">INDEX(RCM!$O$2:$O$11,MATCH(J7,RCM!$A$2:$A$11,0))</f>
        <v>Ineffective</v>
      </c>
      <c r="T7" s="13" t="s">
        <v>79</v>
      </c>
    </row>
    <row r="8" customFormat="false" ht="23.85" hidden="false" customHeight="false" outlineLevel="0" collapsed="false">
      <c r="A8" s="12" t="s">
        <v>80</v>
      </c>
      <c r="B8" s="13" t="s">
        <v>81</v>
      </c>
      <c r="C8" s="13" t="s">
        <v>82</v>
      </c>
      <c r="D8" s="14" t="s">
        <v>58</v>
      </c>
      <c r="E8" s="14" t="s">
        <v>59</v>
      </c>
      <c r="F8" s="15" t="n">
        <v>3</v>
      </c>
      <c r="G8" s="15" t="n">
        <v>5</v>
      </c>
      <c r="H8" s="14" t="n">
        <f aca="false">F8*G8</f>
        <v>15</v>
      </c>
      <c r="I8" s="14" t="str">
        <f aca="false">IF(H8&gt;=Cover!$C$14,"High",IF(H8&gt;=Cover!$C$15,"Medium","Low"))</f>
        <v>High</v>
      </c>
      <c r="J8" s="14" t="s">
        <v>83</v>
      </c>
      <c r="K8" s="15" t="n">
        <v>4</v>
      </c>
      <c r="L8" s="15" t="n">
        <v>5</v>
      </c>
      <c r="M8" s="14" t="n">
        <f aca="false">K8*L8</f>
        <v>20</v>
      </c>
      <c r="N8" s="14" t="str">
        <f aca="false">IF(M8&gt;=Cover!$C$14,"High",IF(M8&gt;=Cover!$C$15,"Medium","Low"))</f>
        <v>High</v>
      </c>
      <c r="O8" s="15" t="n">
        <v>2</v>
      </c>
      <c r="P8" s="15" t="n">
        <v>4</v>
      </c>
      <c r="Q8" s="14" t="n">
        <f aca="false">O8*P8</f>
        <v>8</v>
      </c>
      <c r="R8" s="14" t="str">
        <f aca="false">IF(Q8&gt;=Cover!$C$14,"High",IF(Q8&gt;=Cover!$C$15,"Medium","Low"))</f>
        <v>Medium</v>
      </c>
      <c r="S8" s="16" t="str">
        <f aca="false">INDEX(RCM!$O$2:$O$11,MATCH(J8,RCM!$A$2:$A$11,0))</f>
        <v>Ineffective</v>
      </c>
      <c r="T8" s="13" t="s">
        <v>84</v>
      </c>
    </row>
    <row r="9" customFormat="false" ht="23.85" hidden="false" customHeight="false" outlineLevel="0" collapsed="false">
      <c r="A9" s="12" t="s">
        <v>85</v>
      </c>
      <c r="B9" s="13" t="s">
        <v>86</v>
      </c>
      <c r="C9" s="13" t="s">
        <v>87</v>
      </c>
      <c r="D9" s="14" t="s">
        <v>58</v>
      </c>
      <c r="E9" s="14" t="s">
        <v>88</v>
      </c>
      <c r="F9" s="15" t="n">
        <v>3</v>
      </c>
      <c r="G9" s="15" t="n">
        <v>3</v>
      </c>
      <c r="H9" s="14" t="n">
        <f aca="false">F9*G9</f>
        <v>9</v>
      </c>
      <c r="I9" s="14" t="str">
        <f aca="false">IF(H9&gt;=Cover!$C$14,"High",IF(H9&gt;=Cover!$C$15,"Medium","Low"))</f>
        <v>Medium</v>
      </c>
      <c r="J9" s="14" t="s">
        <v>89</v>
      </c>
      <c r="K9" s="15" t="n">
        <v>3</v>
      </c>
      <c r="L9" s="15" t="n">
        <v>3</v>
      </c>
      <c r="M9" s="14" t="n">
        <f aca="false">K9*L9</f>
        <v>9</v>
      </c>
      <c r="N9" s="14" t="str">
        <f aca="false">IF(M9&gt;=Cover!$C$14,"High",IF(M9&gt;=Cover!$C$15,"Medium","Low"))</f>
        <v>Medium</v>
      </c>
      <c r="O9" s="15" t="n">
        <v>2</v>
      </c>
      <c r="P9" s="15" t="n">
        <v>2</v>
      </c>
      <c r="Q9" s="14" t="n">
        <f aca="false">O9*P9</f>
        <v>4</v>
      </c>
      <c r="R9" s="14" t="str">
        <f aca="false">IF(Q9&gt;=Cover!$C$14,"High",IF(Q9&gt;=Cover!$C$15,"Medium","Low"))</f>
        <v>Low</v>
      </c>
      <c r="S9" s="16" t="str">
        <f aca="false">INDEX(RCM!$O$2:$O$11,MATCH(J9,RCM!$A$2:$A$11,0))</f>
        <v>Control gap</v>
      </c>
      <c r="T9" s="13" t="s">
        <v>90</v>
      </c>
    </row>
    <row r="10" customFormat="false" ht="23.85" hidden="false" customHeight="false" outlineLevel="0" collapsed="false">
      <c r="A10" s="12" t="s">
        <v>91</v>
      </c>
      <c r="B10" s="13" t="s">
        <v>92</v>
      </c>
      <c r="C10" s="13" t="s">
        <v>93</v>
      </c>
      <c r="D10" s="14" t="s">
        <v>94</v>
      </c>
      <c r="E10" s="14" t="s">
        <v>95</v>
      </c>
      <c r="F10" s="15" t="n">
        <v>3</v>
      </c>
      <c r="G10" s="15" t="n">
        <v>3</v>
      </c>
      <c r="H10" s="14" t="n">
        <f aca="false">F10*G10</f>
        <v>9</v>
      </c>
      <c r="I10" s="14" t="str">
        <f aca="false">IF(H10&gt;=Cover!$C$14,"High",IF(H10&gt;=Cover!$C$15,"Medium","Low"))</f>
        <v>Medium</v>
      </c>
      <c r="J10" s="14" t="s">
        <v>96</v>
      </c>
      <c r="K10" s="15" t="n">
        <v>4</v>
      </c>
      <c r="L10" s="15" t="n">
        <v>3</v>
      </c>
      <c r="M10" s="14" t="n">
        <f aca="false">K10*L10</f>
        <v>12</v>
      </c>
      <c r="N10" s="14" t="str">
        <f aca="false">IF(M10&gt;=Cover!$C$14,"High",IF(M10&gt;=Cover!$C$15,"Medium","Low"))</f>
        <v>Medium</v>
      </c>
      <c r="O10" s="15" t="n">
        <v>1</v>
      </c>
      <c r="P10" s="15" t="n">
        <v>2</v>
      </c>
      <c r="Q10" s="14" t="n">
        <f aca="false">O10*P10</f>
        <v>2</v>
      </c>
      <c r="R10" s="14" t="str">
        <f aca="false">IF(Q10&gt;=Cover!$C$14,"High",IF(Q10&gt;=Cover!$C$15,"Medium","Low"))</f>
        <v>Low</v>
      </c>
      <c r="S10" s="16" t="str">
        <f aca="false">INDEX(RCM!$O$2:$O$11,MATCH(J10,RCM!$A$2:$A$11,0))</f>
        <v>Ineffective</v>
      </c>
      <c r="T10" s="13" t="s">
        <v>97</v>
      </c>
    </row>
    <row r="11" customFormat="false" ht="23.85" hidden="false" customHeight="false" outlineLevel="0" collapsed="false">
      <c r="A11" s="12" t="s">
        <v>98</v>
      </c>
      <c r="B11" s="13" t="s">
        <v>99</v>
      </c>
      <c r="C11" s="13" t="s">
        <v>100</v>
      </c>
      <c r="D11" s="14" t="s">
        <v>58</v>
      </c>
      <c r="E11" s="14" t="s">
        <v>101</v>
      </c>
      <c r="F11" s="15" t="n">
        <v>3</v>
      </c>
      <c r="G11" s="15" t="n">
        <v>5</v>
      </c>
      <c r="H11" s="14" t="n">
        <f aca="false">F11*G11</f>
        <v>15</v>
      </c>
      <c r="I11" s="14" t="str">
        <f aca="false">IF(H11&gt;=Cover!$C$14,"High",IF(H11&gt;=Cover!$C$15,"Medium","Low"))</f>
        <v>High</v>
      </c>
      <c r="J11" s="14" t="s">
        <v>102</v>
      </c>
      <c r="K11" s="15" t="n">
        <v>3</v>
      </c>
      <c r="L11" s="15" t="n">
        <v>5</v>
      </c>
      <c r="M11" s="14" t="n">
        <f aca="false">K11*L11</f>
        <v>15</v>
      </c>
      <c r="N11" s="14" t="str">
        <f aca="false">IF(M11&gt;=Cover!$C$14,"High",IF(M11&gt;=Cover!$C$15,"Medium","Low"))</f>
        <v>High</v>
      </c>
      <c r="O11" s="15" t="n">
        <v>1</v>
      </c>
      <c r="P11" s="15" t="n">
        <v>4</v>
      </c>
      <c r="Q11" s="14" t="n">
        <f aca="false">O11*P11</f>
        <v>4</v>
      </c>
      <c r="R11" s="14" t="str">
        <f aca="false">IF(Q11&gt;=Cover!$C$14,"High",IF(Q11&gt;=Cover!$C$15,"Medium","Low"))</f>
        <v>Low</v>
      </c>
      <c r="S11" s="16" t="str">
        <f aca="false">INDEX(RCM!$O$2:$O$11,MATCH(J11,RCM!$A$2:$A$11,0))</f>
        <v>Ineffective</v>
      </c>
      <c r="T11" s="13" t="s">
        <v>103</v>
      </c>
    </row>
    <row r="12" customFormat="false" ht="23.85" hidden="false" customHeight="false" outlineLevel="0" collapsed="false">
      <c r="A12" s="12" t="s">
        <v>104</v>
      </c>
      <c r="B12" s="13" t="s">
        <v>105</v>
      </c>
      <c r="C12" s="13" t="s">
        <v>106</v>
      </c>
      <c r="D12" s="14" t="s">
        <v>58</v>
      </c>
      <c r="E12" s="14" t="s">
        <v>59</v>
      </c>
      <c r="F12" s="15" t="n">
        <v>2</v>
      </c>
      <c r="G12" s="15" t="n">
        <v>4</v>
      </c>
      <c r="H12" s="14" t="n">
        <f aca="false">F12*G12</f>
        <v>8</v>
      </c>
      <c r="I12" s="14" t="str">
        <f aca="false">IF(H12&gt;=Cover!$C$14,"High",IF(H12&gt;=Cover!$C$15,"Medium","Low"))</f>
        <v>Medium</v>
      </c>
      <c r="J12" s="14" t="s">
        <v>107</v>
      </c>
      <c r="K12" s="15" t="n">
        <v>3</v>
      </c>
      <c r="L12" s="15" t="n">
        <v>4</v>
      </c>
      <c r="M12" s="14" t="n">
        <f aca="false">K12*L12</f>
        <v>12</v>
      </c>
      <c r="N12" s="14" t="str">
        <f aca="false">IF(M12&gt;=Cover!$C$14,"High",IF(M12&gt;=Cover!$C$15,"Medium","Low"))</f>
        <v>Medium</v>
      </c>
      <c r="O12" s="15" t="n">
        <v>1</v>
      </c>
      <c r="P12" s="15" t="n">
        <v>3</v>
      </c>
      <c r="Q12" s="14" t="n">
        <f aca="false">O12*P12</f>
        <v>3</v>
      </c>
      <c r="R12" s="14" t="str">
        <f aca="false">IF(Q12&gt;=Cover!$C$14,"High",IF(Q12&gt;=Cover!$C$15,"Medium","Low"))</f>
        <v>Low</v>
      </c>
      <c r="S12" s="16" t="str">
        <f aca="false">INDEX(RCM!$O$2:$O$11,MATCH(J12,RCM!$A$2:$A$11,0))</f>
        <v>Ineffective</v>
      </c>
      <c r="T12" s="13" t="s">
        <v>108</v>
      </c>
    </row>
    <row r="14" customFormat="false" ht="15" hidden="false" customHeight="false" outlineLevel="0" collapsed="false">
      <c r="A14" s="17" t="s">
        <v>109</v>
      </c>
    </row>
    <row r="16" customFormat="false" ht="15" hidden="false" customHeight="false" outlineLevel="0" collapsed="false">
      <c r="A16" s="3" t="s">
        <v>110</v>
      </c>
    </row>
    <row r="17" customFormat="false" ht="15" hidden="false" customHeight="false" outlineLevel="0" collapsed="false">
      <c r="B17" s="3" t="s">
        <v>51</v>
      </c>
      <c r="C17" s="3" t="s">
        <v>111</v>
      </c>
      <c r="D17" s="3" t="s">
        <v>112</v>
      </c>
      <c r="E17" s="3" t="s">
        <v>113</v>
      </c>
    </row>
    <row r="18" customFormat="false" ht="15" hidden="false" customHeight="false" outlineLevel="0" collapsed="false">
      <c r="B18" s="7" t="s">
        <v>114</v>
      </c>
      <c r="C18" s="18" t="n">
        <f aca="false">COUNTIF(I$3:I$12,$B18)</f>
        <v>3</v>
      </c>
      <c r="D18" s="18" t="n">
        <f aca="false">COUNTIF(N$3:N$12,$B18)</f>
        <v>4</v>
      </c>
      <c r="E18" s="18" t="n">
        <f aca="false">COUNTIF(R$3:R$12,$B18)</f>
        <v>0</v>
      </c>
    </row>
    <row r="19" customFormat="false" ht="15" hidden="false" customHeight="false" outlineLevel="0" collapsed="false">
      <c r="B19" s="7" t="s">
        <v>115</v>
      </c>
      <c r="C19" s="18" t="n">
        <f aca="false">COUNTIF(I$3:I$12,$B19)</f>
        <v>7</v>
      </c>
      <c r="D19" s="18" t="n">
        <f aca="false">COUNTIF(N$3:N$12,$B19)</f>
        <v>6</v>
      </c>
      <c r="E19" s="18" t="n">
        <f aca="false">COUNTIF(R$3:R$12,$B19)</f>
        <v>1</v>
      </c>
    </row>
    <row r="20" customFormat="false" ht="15" hidden="false" customHeight="false" outlineLevel="0" collapsed="false">
      <c r="B20" s="7" t="s">
        <v>116</v>
      </c>
      <c r="C20" s="18" t="n">
        <f aca="false">COUNTIF(I$3:I$12,$B20)</f>
        <v>0</v>
      </c>
      <c r="D20" s="18" t="n">
        <f aca="false">COUNTIF(N$3:N$12,$B20)</f>
        <v>0</v>
      </c>
      <c r="E20" s="18" t="n">
        <f aca="false">COUNTIF(R$3:R$12,$B20)</f>
        <v>9</v>
      </c>
    </row>
  </sheetData>
  <mergeCells count="3">
    <mergeCell ref="F1:I1"/>
    <mergeCell ref="K1:N1"/>
    <mergeCell ref="O1:R1"/>
  </mergeCells>
  <conditionalFormatting sqref="I3:I12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N3:N12">
    <cfRule type="cellIs" priority="5" operator="equal" aboveAverage="0" equalAverage="0" bottom="0" percent="0" rank="0" text="" dxfId="0">
      <formula>"High"</formula>
    </cfRule>
    <cfRule type="cellIs" priority="6" operator="equal" aboveAverage="0" equalAverage="0" bottom="0" percent="0" rank="0" text="" dxfId="1">
      <formula>"Medium"</formula>
    </cfRule>
    <cfRule type="cellIs" priority="7" operator="equal" aboveAverage="0" equalAverage="0" bottom="0" percent="0" rank="0" text="" dxfId="2">
      <formula>"Low"</formula>
    </cfRule>
  </conditionalFormatting>
  <conditionalFormatting sqref="R3:R12">
    <cfRule type="cellIs" priority="8" operator="equal" aboveAverage="0" equalAverage="0" bottom="0" percent="0" rank="0" text="" dxfId="0">
      <formula>"High"</formula>
    </cfRule>
    <cfRule type="cellIs" priority="9" operator="equal" aboveAverage="0" equalAverage="0" bottom="0" percent="0" rank="0" text="" dxfId="1">
      <formula>"Medium"</formula>
    </cfRule>
    <cfRule type="cellIs" priority="10" operator="equal" aboveAverage="0" equalAverage="0" bottom="0" percent="0" rank="0" text="" dxfId="2">
      <formula>"Low"</formula>
    </cfRule>
  </conditionalFormatting>
  <conditionalFormatting sqref="S3:S12">
    <cfRule type="cellIs" priority="11" operator="equal" aboveAverage="0" equalAverage="0" bottom="0" percent="0" rank="0" text="" dxfId="0">
      <formula>"Ineffective"</formula>
    </cfRule>
    <cfRule type="cellIs" priority="12" operator="equal" aboveAverage="0" equalAverage="0" bottom="0" percent="0" rank="0" text="" dxfId="1">
      <formula>"Control gap"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14" min="3" style="0" width="8"/>
  </cols>
  <sheetData>
    <row r="2" customFormat="false" ht="17.35" hidden="false" customHeight="false" outlineLevel="0" collapsed="false">
      <c r="B2" s="19" t="s">
        <v>117</v>
      </c>
    </row>
    <row r="4" customFormat="false" ht="15" hidden="false" customHeight="false" outlineLevel="0" collapsed="false">
      <c r="B4" s="5" t="s">
        <v>40</v>
      </c>
      <c r="H4" s="5" t="s">
        <v>41</v>
      </c>
    </row>
    <row r="5" customFormat="false" ht="15" hidden="false" customHeight="false" outlineLevel="0" collapsed="false">
      <c r="B5" s="20" t="s">
        <v>118</v>
      </c>
      <c r="C5" s="21" t="n">
        <v>1</v>
      </c>
      <c r="D5" s="21" t="n">
        <v>2</v>
      </c>
      <c r="E5" s="21" t="n">
        <v>3</v>
      </c>
      <c r="F5" s="21" t="n">
        <v>4</v>
      </c>
      <c r="G5" s="21" t="n">
        <v>5</v>
      </c>
      <c r="H5" s="20" t="s">
        <v>118</v>
      </c>
      <c r="I5" s="21" t="n">
        <v>1</v>
      </c>
      <c r="J5" s="21" t="n">
        <v>2</v>
      </c>
      <c r="K5" s="21" t="n">
        <v>3</v>
      </c>
      <c r="L5" s="21" t="n">
        <v>4</v>
      </c>
      <c r="M5" s="21" t="n">
        <v>5</v>
      </c>
    </row>
    <row r="6" customFormat="false" ht="25.5" hidden="false" customHeight="true" outlineLevel="0" collapsed="false">
      <c r="B6" s="22" t="n">
        <v>5</v>
      </c>
      <c r="C6" s="23" t="n">
        <f aca="false">COUNTIFS('Risk Assessment'!$F$3:$F$12,5,'Risk Assessment'!$G$3:$G$12,1)</f>
        <v>0</v>
      </c>
      <c r="D6" s="24" t="n">
        <f aca="false">COUNTIFS('Risk Assessment'!$F$3:$F$12,5,'Risk Assessment'!$G$3:$G$12,2)</f>
        <v>0</v>
      </c>
      <c r="E6" s="25" t="n">
        <f aca="false">COUNTIFS('Risk Assessment'!$F$3:$F$12,5,'Risk Assessment'!$G$3:$G$12,3)</f>
        <v>0</v>
      </c>
      <c r="F6" s="25" t="n">
        <f aca="false">COUNTIFS('Risk Assessment'!$F$3:$F$12,5,'Risk Assessment'!$G$3:$G$12,4)</f>
        <v>0</v>
      </c>
      <c r="G6" s="25" t="n">
        <f aca="false">COUNTIFS('Risk Assessment'!$F$3:$F$12,5,'Risk Assessment'!$G$3:$G$12,5)</f>
        <v>0</v>
      </c>
      <c r="H6" s="22" t="n">
        <v>5</v>
      </c>
      <c r="I6" s="23" t="n">
        <f aca="false">COUNTIFS('Risk Assessment'!$K$3:$K$12,5,'Risk Assessment'!$L$3:$L$12,1)</f>
        <v>0</v>
      </c>
      <c r="J6" s="24" t="n">
        <f aca="false">COUNTIFS('Risk Assessment'!$K$3:$K$12,5,'Risk Assessment'!$L$3:$L$12,2)</f>
        <v>0</v>
      </c>
      <c r="K6" s="25" t="n">
        <f aca="false">COUNTIFS('Risk Assessment'!$K$3:$K$12,5,'Risk Assessment'!$L$3:$L$12,3)</f>
        <v>0</v>
      </c>
      <c r="L6" s="25" t="n">
        <f aca="false">COUNTIFS('Risk Assessment'!$K$3:$K$12,5,'Risk Assessment'!$L$3:$L$12,4)</f>
        <v>0</v>
      </c>
      <c r="M6" s="25" t="n">
        <f aca="false">COUNTIFS('Risk Assessment'!$K$3:$K$12,5,'Risk Assessment'!$L$3:$L$12,5)</f>
        <v>0</v>
      </c>
    </row>
    <row r="7" customFormat="false" ht="25.5" hidden="false" customHeight="true" outlineLevel="0" collapsed="false">
      <c r="B7" s="22" t="n">
        <v>4</v>
      </c>
      <c r="C7" s="23" t="n">
        <f aca="false">COUNTIFS('Risk Assessment'!$F$3:$F$12,4,'Risk Assessment'!$G$3:$G$12,1)</f>
        <v>0</v>
      </c>
      <c r="D7" s="24" t="n">
        <f aca="false">COUNTIFS('Risk Assessment'!$F$3:$F$12,4,'Risk Assessment'!$G$3:$G$12,2)</f>
        <v>0</v>
      </c>
      <c r="E7" s="24" t="n">
        <f aca="false">COUNTIFS('Risk Assessment'!$F$3:$F$12,4,'Risk Assessment'!$G$3:$G$12,3)</f>
        <v>1</v>
      </c>
      <c r="F7" s="25" t="n">
        <f aca="false">COUNTIFS('Risk Assessment'!$F$3:$F$12,4,'Risk Assessment'!$G$3:$G$12,4)</f>
        <v>0</v>
      </c>
      <c r="G7" s="25" t="n">
        <f aca="false">COUNTIFS('Risk Assessment'!$F$3:$F$12,4,'Risk Assessment'!$G$3:$G$12,5)</f>
        <v>1</v>
      </c>
      <c r="H7" s="22" t="n">
        <v>4</v>
      </c>
      <c r="I7" s="23" t="n">
        <f aca="false">COUNTIFS('Risk Assessment'!$K$3:$K$12,4,'Risk Assessment'!$L$3:$L$12,1)</f>
        <v>0</v>
      </c>
      <c r="J7" s="24" t="n">
        <f aca="false">COUNTIFS('Risk Assessment'!$K$3:$K$12,4,'Risk Assessment'!$L$3:$L$12,2)</f>
        <v>0</v>
      </c>
      <c r="K7" s="24" t="n">
        <f aca="false">COUNTIFS('Risk Assessment'!$K$3:$K$12,4,'Risk Assessment'!$L$3:$L$12,3)</f>
        <v>2</v>
      </c>
      <c r="L7" s="25" t="n">
        <f aca="false">COUNTIFS('Risk Assessment'!$K$3:$K$12,4,'Risk Assessment'!$L$3:$L$12,4)</f>
        <v>1</v>
      </c>
      <c r="M7" s="25" t="n">
        <f aca="false">COUNTIFS('Risk Assessment'!$K$3:$K$12,4,'Risk Assessment'!$L$3:$L$12,5)</f>
        <v>2</v>
      </c>
    </row>
    <row r="8" customFormat="false" ht="25.5" hidden="false" customHeight="true" outlineLevel="0" collapsed="false">
      <c r="B8" s="22" t="n">
        <v>3</v>
      </c>
      <c r="C8" s="23" t="n">
        <f aca="false">COUNTIFS('Risk Assessment'!$F$3:$F$12,3,'Risk Assessment'!$G$3:$G$12,1)</f>
        <v>0</v>
      </c>
      <c r="D8" s="23" t="n">
        <f aca="false">COUNTIFS('Risk Assessment'!$F$3:$F$12,3,'Risk Assessment'!$G$3:$G$12,2)</f>
        <v>0</v>
      </c>
      <c r="E8" s="24" t="n">
        <f aca="false">COUNTIFS('Risk Assessment'!$F$3:$F$12,3,'Risk Assessment'!$G$3:$G$12,3)</f>
        <v>3</v>
      </c>
      <c r="F8" s="24" t="n">
        <f aca="false">COUNTIFS('Risk Assessment'!$F$3:$F$12,3,'Risk Assessment'!$G$3:$G$12,4)</f>
        <v>2</v>
      </c>
      <c r="G8" s="25" t="n">
        <f aca="false">COUNTIFS('Risk Assessment'!$F$3:$F$12,3,'Risk Assessment'!$G$3:$G$12,5)</f>
        <v>2</v>
      </c>
      <c r="H8" s="22" t="n">
        <v>3</v>
      </c>
      <c r="I8" s="23" t="n">
        <f aca="false">COUNTIFS('Risk Assessment'!$K$3:$K$12,3,'Risk Assessment'!$L$3:$L$12,1)</f>
        <v>0</v>
      </c>
      <c r="J8" s="23" t="n">
        <f aca="false">COUNTIFS('Risk Assessment'!$K$3:$K$12,3,'Risk Assessment'!$L$3:$L$12,2)</f>
        <v>0</v>
      </c>
      <c r="K8" s="24" t="n">
        <f aca="false">COUNTIFS('Risk Assessment'!$K$3:$K$12,3,'Risk Assessment'!$L$3:$L$12,3)</f>
        <v>2</v>
      </c>
      <c r="L8" s="24" t="n">
        <f aca="false">COUNTIFS('Risk Assessment'!$K$3:$K$12,3,'Risk Assessment'!$L$3:$L$12,4)</f>
        <v>2</v>
      </c>
      <c r="M8" s="25" t="n">
        <f aca="false">COUNTIFS('Risk Assessment'!$K$3:$K$12,3,'Risk Assessment'!$L$3:$L$12,5)</f>
        <v>1</v>
      </c>
    </row>
    <row r="9" customFormat="false" ht="25.5" hidden="false" customHeight="true" outlineLevel="0" collapsed="false">
      <c r="B9" s="22" t="n">
        <v>2</v>
      </c>
      <c r="C9" s="23" t="n">
        <f aca="false">COUNTIFS('Risk Assessment'!$F$3:$F$12,2,'Risk Assessment'!$G$3:$G$12,1)</f>
        <v>0</v>
      </c>
      <c r="D9" s="23" t="n">
        <f aca="false">COUNTIFS('Risk Assessment'!$F$3:$F$12,2,'Risk Assessment'!$G$3:$G$12,2)</f>
        <v>0</v>
      </c>
      <c r="E9" s="23" t="n">
        <f aca="false">COUNTIFS('Risk Assessment'!$F$3:$F$12,2,'Risk Assessment'!$G$3:$G$12,3)</f>
        <v>0</v>
      </c>
      <c r="F9" s="24" t="n">
        <f aca="false">COUNTIFS('Risk Assessment'!$F$3:$F$12,2,'Risk Assessment'!$G$3:$G$12,4)</f>
        <v>1</v>
      </c>
      <c r="G9" s="24" t="n">
        <f aca="false">COUNTIFS('Risk Assessment'!$F$3:$F$12,2,'Risk Assessment'!$G$3:$G$12,5)</f>
        <v>0</v>
      </c>
      <c r="H9" s="22" t="n">
        <v>2</v>
      </c>
      <c r="I9" s="23" t="n">
        <f aca="false">COUNTIFS('Risk Assessment'!$K$3:$K$12,2,'Risk Assessment'!$L$3:$L$12,1)</f>
        <v>0</v>
      </c>
      <c r="J9" s="23" t="n">
        <f aca="false">COUNTIFS('Risk Assessment'!$K$3:$K$12,2,'Risk Assessment'!$L$3:$L$12,2)</f>
        <v>0</v>
      </c>
      <c r="K9" s="23" t="n">
        <f aca="false">COUNTIFS('Risk Assessment'!$K$3:$K$12,2,'Risk Assessment'!$L$3:$L$12,3)</f>
        <v>0</v>
      </c>
      <c r="L9" s="24" t="n">
        <f aca="false">COUNTIFS('Risk Assessment'!$K$3:$K$12,2,'Risk Assessment'!$L$3:$L$12,4)</f>
        <v>0</v>
      </c>
      <c r="M9" s="24" t="n">
        <f aca="false">COUNTIFS('Risk Assessment'!$K$3:$K$12,2,'Risk Assessment'!$L$3:$L$12,5)</f>
        <v>0</v>
      </c>
    </row>
    <row r="10" customFormat="false" ht="25.5" hidden="false" customHeight="true" outlineLevel="0" collapsed="false">
      <c r="B10" s="22" t="n">
        <v>1</v>
      </c>
      <c r="C10" s="23" t="n">
        <f aca="false">COUNTIFS('Risk Assessment'!$F$3:$F$12,1,'Risk Assessment'!$G$3:$G$12,1)</f>
        <v>0</v>
      </c>
      <c r="D10" s="23" t="n">
        <f aca="false">COUNTIFS('Risk Assessment'!$F$3:$F$12,1,'Risk Assessment'!$G$3:$G$12,2)</f>
        <v>0</v>
      </c>
      <c r="E10" s="23" t="n">
        <f aca="false">COUNTIFS('Risk Assessment'!$F$3:$F$12,1,'Risk Assessment'!$G$3:$G$12,3)</f>
        <v>0</v>
      </c>
      <c r="F10" s="23" t="n">
        <f aca="false">COUNTIFS('Risk Assessment'!$F$3:$F$12,1,'Risk Assessment'!$G$3:$G$12,4)</f>
        <v>0</v>
      </c>
      <c r="G10" s="23" t="n">
        <f aca="false">COUNTIFS('Risk Assessment'!$F$3:$F$12,1,'Risk Assessment'!$G$3:$G$12,5)</f>
        <v>0</v>
      </c>
      <c r="H10" s="22" t="n">
        <v>1</v>
      </c>
      <c r="I10" s="23" t="n">
        <f aca="false">COUNTIFS('Risk Assessment'!$K$3:$K$12,1,'Risk Assessment'!$L$3:$L$12,1)</f>
        <v>0</v>
      </c>
      <c r="J10" s="23" t="n">
        <f aca="false">COUNTIFS('Risk Assessment'!$K$3:$K$12,1,'Risk Assessment'!$L$3:$L$12,2)</f>
        <v>0</v>
      </c>
      <c r="K10" s="23" t="n">
        <f aca="false">COUNTIFS('Risk Assessment'!$K$3:$K$12,1,'Risk Assessment'!$L$3:$L$12,3)</f>
        <v>0</v>
      </c>
      <c r="L10" s="23" t="n">
        <f aca="false">COUNTIFS('Risk Assessment'!$K$3:$K$12,1,'Risk Assessment'!$L$3:$L$12,4)</f>
        <v>0</v>
      </c>
      <c r="M10" s="23" t="n">
        <f aca="false">COUNTIFS('Risk Assessment'!$K$3:$K$12,1,'Risk Assessment'!$L$3:$L$12,5)</f>
        <v>0</v>
      </c>
    </row>
    <row r="13" customFormat="false" ht="15" hidden="false" customHeight="false" outlineLevel="0" collapsed="false">
      <c r="B13" s="5" t="s">
        <v>42</v>
      </c>
    </row>
    <row r="14" customFormat="false" ht="15" hidden="false" customHeight="false" outlineLevel="0" collapsed="false">
      <c r="B14" s="20" t="s">
        <v>118</v>
      </c>
      <c r="C14" s="21" t="n">
        <v>1</v>
      </c>
      <c r="D14" s="21" t="n">
        <v>2</v>
      </c>
      <c r="E14" s="21" t="n">
        <v>3</v>
      </c>
      <c r="F14" s="21" t="n">
        <v>4</v>
      </c>
      <c r="G14" s="21" t="n">
        <v>5</v>
      </c>
      <c r="H14" s="17" t="s">
        <v>119</v>
      </c>
    </row>
    <row r="15" customFormat="false" ht="25.5" hidden="false" customHeight="true" outlineLevel="0" collapsed="false">
      <c r="B15" s="22" t="n">
        <v>5</v>
      </c>
      <c r="C15" s="23" t="n">
        <f aca="false">COUNTIFS('Risk Assessment'!$O$3:$O$12,5,'Risk Assessment'!$P$3:$P$12,1)</f>
        <v>0</v>
      </c>
      <c r="D15" s="24" t="n">
        <f aca="false">COUNTIFS('Risk Assessment'!$O$3:$O$12,5,'Risk Assessment'!$P$3:$P$12,2)</f>
        <v>0</v>
      </c>
      <c r="E15" s="25" t="n">
        <f aca="false">COUNTIFS('Risk Assessment'!$O$3:$O$12,5,'Risk Assessment'!$P$3:$P$12,3)</f>
        <v>0</v>
      </c>
      <c r="F15" s="25" t="n">
        <f aca="false">COUNTIFS('Risk Assessment'!$O$3:$O$12,5,'Risk Assessment'!$P$3:$P$12,4)</f>
        <v>0</v>
      </c>
      <c r="G15" s="25" t="n">
        <f aca="false">COUNTIFS('Risk Assessment'!$O$3:$O$12,5,'Risk Assessment'!$P$3:$P$12,5)</f>
        <v>0</v>
      </c>
      <c r="H15" s="17" t="s">
        <v>120</v>
      </c>
    </row>
    <row r="16" customFormat="false" ht="25.5" hidden="false" customHeight="true" outlineLevel="0" collapsed="false">
      <c r="B16" s="22" t="n">
        <v>4</v>
      </c>
      <c r="C16" s="23" t="n">
        <f aca="false">COUNTIFS('Risk Assessment'!$O$3:$O$12,4,'Risk Assessment'!$P$3:$P$12,1)</f>
        <v>0</v>
      </c>
      <c r="D16" s="24" t="n">
        <f aca="false">COUNTIFS('Risk Assessment'!$O$3:$O$12,4,'Risk Assessment'!$P$3:$P$12,2)</f>
        <v>0</v>
      </c>
      <c r="E16" s="24" t="n">
        <f aca="false">COUNTIFS('Risk Assessment'!$O$3:$O$12,4,'Risk Assessment'!$P$3:$P$12,3)</f>
        <v>0</v>
      </c>
      <c r="F16" s="25" t="n">
        <f aca="false">COUNTIFS('Risk Assessment'!$O$3:$O$12,4,'Risk Assessment'!$P$3:$P$12,4)</f>
        <v>0</v>
      </c>
      <c r="G16" s="25" t="n">
        <f aca="false">COUNTIFS('Risk Assessment'!$O$3:$O$12,4,'Risk Assessment'!$P$3:$P$12,5)</f>
        <v>0</v>
      </c>
    </row>
    <row r="17" customFormat="false" ht="25.5" hidden="false" customHeight="true" outlineLevel="0" collapsed="false">
      <c r="B17" s="22" t="n">
        <v>3</v>
      </c>
      <c r="C17" s="23" t="n">
        <f aca="false">COUNTIFS('Risk Assessment'!$O$3:$O$12,3,'Risk Assessment'!$P$3:$P$12,1)</f>
        <v>0</v>
      </c>
      <c r="D17" s="23" t="n">
        <f aca="false">COUNTIFS('Risk Assessment'!$O$3:$O$12,3,'Risk Assessment'!$P$3:$P$12,2)</f>
        <v>0</v>
      </c>
      <c r="E17" s="24" t="n">
        <f aca="false">COUNTIFS('Risk Assessment'!$O$3:$O$12,3,'Risk Assessment'!$P$3:$P$12,3)</f>
        <v>0</v>
      </c>
      <c r="F17" s="24" t="n">
        <f aca="false">COUNTIFS('Risk Assessment'!$O$3:$O$12,3,'Risk Assessment'!$P$3:$P$12,4)</f>
        <v>0</v>
      </c>
      <c r="G17" s="25" t="n">
        <f aca="false">COUNTIFS('Risk Assessment'!$O$3:$O$12,3,'Risk Assessment'!$P$3:$P$12,5)</f>
        <v>0</v>
      </c>
    </row>
    <row r="18" customFormat="false" ht="25.5" hidden="false" customHeight="true" outlineLevel="0" collapsed="false">
      <c r="B18" s="22" t="n">
        <v>2</v>
      </c>
      <c r="C18" s="23" t="n">
        <f aca="false">COUNTIFS('Risk Assessment'!$O$3:$O$12,2,'Risk Assessment'!$P$3:$P$12,1)</f>
        <v>0</v>
      </c>
      <c r="D18" s="23" t="n">
        <f aca="false">COUNTIFS('Risk Assessment'!$O$3:$O$12,2,'Risk Assessment'!$P$3:$P$12,2)</f>
        <v>2</v>
      </c>
      <c r="E18" s="23" t="n">
        <f aca="false">COUNTIFS('Risk Assessment'!$O$3:$O$12,2,'Risk Assessment'!$P$3:$P$12,3)</f>
        <v>2</v>
      </c>
      <c r="F18" s="24" t="n">
        <f aca="false">COUNTIFS('Risk Assessment'!$O$3:$O$12,2,'Risk Assessment'!$P$3:$P$12,4)</f>
        <v>1</v>
      </c>
      <c r="G18" s="24" t="n">
        <f aca="false">COUNTIFS('Risk Assessment'!$O$3:$O$12,2,'Risk Assessment'!$P$3:$P$12,5)</f>
        <v>0</v>
      </c>
    </row>
    <row r="19" customFormat="false" ht="25.5" hidden="false" customHeight="true" outlineLevel="0" collapsed="false">
      <c r="B19" s="22" t="n">
        <v>1</v>
      </c>
      <c r="C19" s="23" t="n">
        <f aca="false">COUNTIFS('Risk Assessment'!$O$3:$O$12,1,'Risk Assessment'!$P$3:$P$12,1)</f>
        <v>0</v>
      </c>
      <c r="D19" s="23" t="n">
        <f aca="false">COUNTIFS('Risk Assessment'!$O$3:$O$12,1,'Risk Assessment'!$P$3:$P$12,2)</f>
        <v>2</v>
      </c>
      <c r="E19" s="23" t="n">
        <f aca="false">COUNTIFS('Risk Assessment'!$O$3:$O$12,1,'Risk Assessment'!$P$3:$P$12,3)</f>
        <v>2</v>
      </c>
      <c r="F19" s="23" t="n">
        <f aca="false">COUNTIFS('Risk Assessment'!$O$3:$O$12,1,'Risk Assessment'!$P$3:$P$12,4)</f>
        <v>1</v>
      </c>
      <c r="G19" s="23" t="n">
        <f aca="false">COUNTIFS('Risk Assessment'!$O$3:$O$12,1,'Risk Assessment'!$P$3:$P$12,5)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48"/>
  </cols>
  <sheetData>
    <row r="1" customFormat="false" ht="31.5" hidden="false" customHeight="true" outlineLevel="0" collapsed="false">
      <c r="A1" s="11" t="s">
        <v>121</v>
      </c>
      <c r="B1" s="11" t="s">
        <v>122</v>
      </c>
      <c r="C1" s="11" t="s">
        <v>123</v>
      </c>
      <c r="D1" s="11" t="s">
        <v>124</v>
      </c>
      <c r="E1" s="11" t="s">
        <v>125</v>
      </c>
      <c r="F1" s="11" t="s">
        <v>126</v>
      </c>
      <c r="G1" s="11" t="s">
        <v>76</v>
      </c>
      <c r="H1" s="11" t="s">
        <v>127</v>
      </c>
      <c r="I1" s="11" t="s">
        <v>128</v>
      </c>
      <c r="J1" s="11" t="s">
        <v>129</v>
      </c>
      <c r="K1" s="11" t="s">
        <v>130</v>
      </c>
    </row>
    <row r="2" customFormat="false" ht="23.85" hidden="false" customHeight="false" outlineLevel="0" collapsed="false">
      <c r="A2" s="12" t="s">
        <v>131</v>
      </c>
      <c r="B2" s="14" t="s">
        <v>132</v>
      </c>
      <c r="C2" s="13" t="s">
        <v>133</v>
      </c>
      <c r="D2" s="14" t="s">
        <v>131</v>
      </c>
      <c r="E2" s="13" t="s">
        <v>134</v>
      </c>
      <c r="F2" s="26" t="n">
        <v>85</v>
      </c>
      <c r="G2" s="26" t="n">
        <v>15</v>
      </c>
      <c r="H2" s="27" t="n">
        <f aca="false">IFERROR(G2/F2,0)</f>
        <v>0.176470588235294</v>
      </c>
      <c r="I2" s="28" t="n">
        <v>11817600</v>
      </c>
      <c r="J2" s="13" t="s">
        <v>135</v>
      </c>
      <c r="K2" s="13" t="s">
        <v>136</v>
      </c>
    </row>
    <row r="3" customFormat="false" ht="23.85" hidden="false" customHeight="false" outlineLevel="0" collapsed="false">
      <c r="A3" s="12" t="s">
        <v>137</v>
      </c>
      <c r="B3" s="14" t="s">
        <v>138</v>
      </c>
      <c r="C3" s="13" t="s">
        <v>139</v>
      </c>
      <c r="D3" s="14" t="s">
        <v>137</v>
      </c>
      <c r="E3" s="13" t="s">
        <v>140</v>
      </c>
      <c r="F3" s="26" t="n">
        <v>36</v>
      </c>
      <c r="G3" s="26" t="n">
        <v>11</v>
      </c>
      <c r="H3" s="27" t="n">
        <f aca="false">IFERROR(G3/F3,0)</f>
        <v>0.305555555555556</v>
      </c>
      <c r="I3" s="28" t="n">
        <v>8121500</v>
      </c>
      <c r="J3" s="13" t="s">
        <v>141</v>
      </c>
      <c r="K3" s="13" t="s">
        <v>142</v>
      </c>
    </row>
    <row r="4" customFormat="false" ht="35.05" hidden="false" customHeight="false" outlineLevel="0" collapsed="false">
      <c r="A4" s="12" t="s">
        <v>143</v>
      </c>
      <c r="B4" s="14" t="s">
        <v>144</v>
      </c>
      <c r="C4" s="13" t="s">
        <v>145</v>
      </c>
      <c r="D4" s="14" t="s">
        <v>143</v>
      </c>
      <c r="E4" s="13" t="s">
        <v>146</v>
      </c>
      <c r="F4" s="26" t="n">
        <v>82</v>
      </c>
      <c r="G4" s="26" t="n">
        <v>2</v>
      </c>
      <c r="H4" s="27" t="n">
        <f aca="false">IFERROR(G4/F4,0)</f>
        <v>0.024390243902439</v>
      </c>
      <c r="I4" s="28" t="n">
        <v>945700</v>
      </c>
      <c r="J4" s="13" t="s">
        <v>147</v>
      </c>
      <c r="K4" s="13" t="s">
        <v>148</v>
      </c>
    </row>
    <row r="5" customFormat="false" ht="23.85" hidden="false" customHeight="false" outlineLevel="0" collapsed="false">
      <c r="A5" s="12" t="s">
        <v>149</v>
      </c>
      <c r="B5" s="14" t="s">
        <v>150</v>
      </c>
      <c r="C5" s="13" t="s">
        <v>151</v>
      </c>
      <c r="D5" s="14" t="s">
        <v>149</v>
      </c>
      <c r="E5" s="13" t="s">
        <v>152</v>
      </c>
      <c r="F5" s="26" t="n">
        <v>43</v>
      </c>
      <c r="G5" s="26" t="n">
        <v>4</v>
      </c>
      <c r="H5" s="27" t="n">
        <f aca="false">IFERROR(G5/F5,0)</f>
        <v>0.0930232558139535</v>
      </c>
      <c r="I5" s="28" t="n">
        <v>2317300</v>
      </c>
      <c r="J5" s="13" t="s">
        <v>147</v>
      </c>
      <c r="K5" s="13" t="s">
        <v>153</v>
      </c>
    </row>
    <row r="6" customFormat="false" ht="35.05" hidden="false" customHeight="false" outlineLevel="0" collapsed="false">
      <c r="A6" s="12" t="s">
        <v>154</v>
      </c>
      <c r="B6" s="14" t="s">
        <v>155</v>
      </c>
      <c r="C6" s="13" t="s">
        <v>156</v>
      </c>
      <c r="D6" s="14" t="s">
        <v>154</v>
      </c>
      <c r="E6" s="13" t="s">
        <v>157</v>
      </c>
      <c r="F6" s="26" t="n">
        <v>192</v>
      </c>
      <c r="G6" s="26" t="n">
        <v>11</v>
      </c>
      <c r="H6" s="27" t="n">
        <f aca="false">IFERROR(G6/F6,0)</f>
        <v>0.0572916666666667</v>
      </c>
      <c r="I6" s="28" t="n">
        <v>0</v>
      </c>
      <c r="J6" s="13" t="s">
        <v>147</v>
      </c>
      <c r="K6" s="13" t="s">
        <v>158</v>
      </c>
    </row>
    <row r="7" customFormat="false" ht="23.85" hidden="false" customHeight="false" outlineLevel="0" collapsed="false">
      <c r="A7" s="12" t="s">
        <v>159</v>
      </c>
      <c r="B7" s="14" t="s">
        <v>160</v>
      </c>
      <c r="C7" s="13" t="s">
        <v>161</v>
      </c>
      <c r="D7" s="14" t="s">
        <v>159</v>
      </c>
      <c r="E7" s="13" t="s">
        <v>162</v>
      </c>
      <c r="F7" s="26" t="n">
        <v>214</v>
      </c>
      <c r="G7" s="26" t="n">
        <v>11</v>
      </c>
      <c r="H7" s="27" t="n">
        <f aca="false">IFERROR(G7/F7,0)</f>
        <v>0.0514018691588785</v>
      </c>
      <c r="I7" s="28" t="n">
        <v>29531100</v>
      </c>
      <c r="J7" s="13" t="s">
        <v>163</v>
      </c>
      <c r="K7" s="13" t="s">
        <v>164</v>
      </c>
    </row>
    <row r="8" customFormat="false" ht="23.85" hidden="false" customHeight="false" outlineLevel="0" collapsed="false">
      <c r="A8" s="12" t="s">
        <v>165</v>
      </c>
      <c r="B8" s="14" t="s">
        <v>166</v>
      </c>
      <c r="C8" s="13" t="s">
        <v>167</v>
      </c>
      <c r="D8" s="14" t="s">
        <v>165</v>
      </c>
      <c r="E8" s="13" t="s">
        <v>168</v>
      </c>
      <c r="F8" s="26" t="n">
        <v>91</v>
      </c>
      <c r="G8" s="26" t="n">
        <v>5</v>
      </c>
      <c r="H8" s="27" t="n">
        <f aca="false">IFERROR(G8/F8,0)</f>
        <v>0.0549450549450549</v>
      </c>
      <c r="I8" s="28" t="n">
        <v>0</v>
      </c>
      <c r="J8" s="13" t="s">
        <v>147</v>
      </c>
      <c r="K8" s="13" t="s">
        <v>169</v>
      </c>
    </row>
    <row r="9" customFormat="false" ht="23.85" hidden="false" customHeight="false" outlineLevel="0" collapsed="false">
      <c r="A9" s="12" t="s">
        <v>170</v>
      </c>
      <c r="B9" s="14" t="s">
        <v>166</v>
      </c>
      <c r="C9" s="13" t="s">
        <v>171</v>
      </c>
      <c r="D9" s="14" t="s">
        <v>170</v>
      </c>
      <c r="E9" s="13" t="s">
        <v>172</v>
      </c>
      <c r="F9" s="26" t="n">
        <v>2679</v>
      </c>
      <c r="G9" s="26" t="n">
        <v>28</v>
      </c>
      <c r="H9" s="27" t="n">
        <f aca="false">IFERROR(G9/F9,0)</f>
        <v>0.0104516610675625</v>
      </c>
      <c r="I9" s="28" t="n">
        <v>0</v>
      </c>
      <c r="J9" s="13" t="s">
        <v>173</v>
      </c>
      <c r="K9" s="13" t="s">
        <v>174</v>
      </c>
    </row>
    <row r="10" customFormat="false" ht="23.85" hidden="false" customHeight="false" outlineLevel="0" collapsed="false">
      <c r="A10" s="12" t="s">
        <v>175</v>
      </c>
      <c r="B10" s="14" t="s">
        <v>176</v>
      </c>
      <c r="C10" s="13" t="s">
        <v>177</v>
      </c>
      <c r="D10" s="14" t="s">
        <v>175</v>
      </c>
      <c r="E10" s="13" t="s">
        <v>178</v>
      </c>
      <c r="F10" s="26" t="n">
        <v>5</v>
      </c>
      <c r="G10" s="26" t="n">
        <v>1</v>
      </c>
      <c r="H10" s="27" t="n">
        <f aca="false">IFERROR(G10/F10,0)</f>
        <v>0.2</v>
      </c>
      <c r="I10" s="28" t="n">
        <v>0</v>
      </c>
      <c r="J10" s="13" t="s">
        <v>147</v>
      </c>
      <c r="K10" s="13" t="s">
        <v>179</v>
      </c>
    </row>
    <row r="11" customFormat="false" ht="35.05" hidden="false" customHeight="false" outlineLevel="0" collapsed="false">
      <c r="A11" s="12" t="s">
        <v>180</v>
      </c>
      <c r="B11" s="14" t="s">
        <v>181</v>
      </c>
      <c r="C11" s="13" t="s">
        <v>182</v>
      </c>
      <c r="D11" s="14" t="s">
        <v>180</v>
      </c>
      <c r="E11" s="13" t="s">
        <v>183</v>
      </c>
      <c r="F11" s="26" t="n">
        <v>16</v>
      </c>
      <c r="G11" s="26" t="n">
        <v>6</v>
      </c>
      <c r="H11" s="27" t="n">
        <f aca="false">IFERROR(G11/F11,0)</f>
        <v>0.375</v>
      </c>
      <c r="I11" s="28" t="n">
        <v>8066200</v>
      </c>
      <c r="J11" s="13" t="s">
        <v>184</v>
      </c>
      <c r="K11" s="13" t="s">
        <v>185</v>
      </c>
    </row>
    <row r="12" customFormat="false" ht="23.85" hidden="false" customHeight="false" outlineLevel="0" collapsed="false">
      <c r="A12" s="12" t="s">
        <v>186</v>
      </c>
      <c r="B12" s="14" t="s">
        <v>187</v>
      </c>
      <c r="C12" s="13" t="s">
        <v>188</v>
      </c>
      <c r="D12" s="14" t="s">
        <v>189</v>
      </c>
      <c r="E12" s="13" t="s">
        <v>190</v>
      </c>
      <c r="F12" s="26" t="n">
        <v>5</v>
      </c>
      <c r="G12" s="26" t="n">
        <v>1</v>
      </c>
      <c r="H12" s="27" t="n">
        <f aca="false">IFERROR(G12/F12,0)</f>
        <v>0.2</v>
      </c>
      <c r="I12" s="28" t="n">
        <v>4470400</v>
      </c>
      <c r="J12" s="13" t="s">
        <v>147</v>
      </c>
      <c r="K12" s="13" t="s">
        <v>191</v>
      </c>
    </row>
    <row r="14" customFormat="false" ht="15" hidden="false" customHeight="false" outlineLevel="0" collapsed="false">
      <c r="A14" s="17" t="s">
        <v>192</v>
      </c>
    </row>
    <row r="15" customFormat="false" ht="15" hidden="false" customHeight="false" outlineLevel="0" collapsed="false">
      <c r="A15" s="3" t="s">
        <v>193</v>
      </c>
      <c r="C15" s="7" t="n">
        <f aca="false">COUNTIF(G2:G12,"&gt;0")</f>
        <v>11</v>
      </c>
    </row>
    <row r="16" customFormat="false" ht="15" hidden="false" customHeight="false" outlineLevel="0" collapsed="false">
      <c r="A16" s="3" t="s">
        <v>194</v>
      </c>
      <c r="C16" s="7" t="n">
        <f aca="false">SUM(G2:G12)</f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44"/>
    <col collapsed="false" customWidth="true" hidden="false" outlineLevel="0" max="14" min="13" style="0" width="11"/>
    <col collapsed="false" customWidth="true" hidden="false" outlineLevel="0" max="15" min="15" style="0" width="16"/>
    <col collapsed="false" customWidth="true" hidden="false" outlineLevel="0" max="16" min="16" style="0" width="9"/>
  </cols>
  <sheetData>
    <row r="1" customFormat="false" ht="31.5" hidden="false" customHeight="true" outlineLevel="0" collapsed="false">
      <c r="A1" s="11" t="s">
        <v>195</v>
      </c>
      <c r="B1" s="11" t="s">
        <v>43</v>
      </c>
      <c r="C1" s="11" t="s">
        <v>196</v>
      </c>
      <c r="D1" s="11" t="s">
        <v>197</v>
      </c>
      <c r="E1" s="11" t="s">
        <v>198</v>
      </c>
      <c r="F1" s="11" t="s">
        <v>199</v>
      </c>
      <c r="G1" s="11" t="s">
        <v>200</v>
      </c>
      <c r="H1" s="11" t="s">
        <v>201</v>
      </c>
      <c r="I1" s="11" t="s">
        <v>202</v>
      </c>
      <c r="J1" s="11" t="s">
        <v>203</v>
      </c>
      <c r="K1" s="11" t="s">
        <v>121</v>
      </c>
      <c r="L1" s="11" t="s">
        <v>204</v>
      </c>
      <c r="M1" s="11" t="s">
        <v>126</v>
      </c>
      <c r="N1" s="11" t="s">
        <v>76</v>
      </c>
      <c r="O1" s="11" t="s">
        <v>205</v>
      </c>
      <c r="P1" s="11" t="s">
        <v>206</v>
      </c>
    </row>
    <row r="2" customFormat="false" ht="35.05" hidden="false" customHeight="false" outlineLevel="0" collapsed="false">
      <c r="A2" s="12" t="s">
        <v>60</v>
      </c>
      <c r="B2" s="14" t="s">
        <v>55</v>
      </c>
      <c r="C2" s="13" t="s">
        <v>207</v>
      </c>
      <c r="D2" s="13" t="s">
        <v>208</v>
      </c>
      <c r="E2" s="13" t="s">
        <v>209</v>
      </c>
      <c r="F2" s="14" t="s">
        <v>210</v>
      </c>
      <c r="G2" s="14" t="s">
        <v>211</v>
      </c>
      <c r="H2" s="14" t="s">
        <v>212</v>
      </c>
      <c r="I2" s="14" t="s">
        <v>213</v>
      </c>
      <c r="J2" s="15" t="s">
        <v>214</v>
      </c>
      <c r="K2" s="14" t="s">
        <v>131</v>
      </c>
      <c r="L2" s="13" t="s">
        <v>215</v>
      </c>
      <c r="M2" s="29" t="n">
        <f aca="false">INDEX('Test Results'!$F$2:$F$12,MATCH(K2,'Test Results'!$A$2:$A$12,0))</f>
        <v>85</v>
      </c>
      <c r="N2" s="29" t="n">
        <f aca="false">INDEX('Test Results'!$G$2:$G$12,MATCH(K2,'Test Results'!$A$2:$A$12,0))</f>
        <v>15</v>
      </c>
      <c r="O2" s="14" t="str">
        <f aca="false">IF(J2="Not designed","Control gap",IF(N2=0,"Effective","Ineffective"))</f>
        <v>Ineffective</v>
      </c>
      <c r="P2" s="14" t="s">
        <v>216</v>
      </c>
    </row>
    <row r="3" customFormat="false" ht="35.05" hidden="false" customHeight="false" outlineLevel="0" collapsed="false">
      <c r="A3" s="12" t="s">
        <v>64</v>
      </c>
      <c r="B3" s="14" t="s">
        <v>62</v>
      </c>
      <c r="C3" s="13" t="s">
        <v>217</v>
      </c>
      <c r="D3" s="13" t="s">
        <v>218</v>
      </c>
      <c r="E3" s="13" t="s">
        <v>209</v>
      </c>
      <c r="F3" s="14" t="s">
        <v>210</v>
      </c>
      <c r="G3" s="14" t="s">
        <v>211</v>
      </c>
      <c r="H3" s="14" t="s">
        <v>212</v>
      </c>
      <c r="I3" s="14" t="s">
        <v>213</v>
      </c>
      <c r="J3" s="15" t="s">
        <v>219</v>
      </c>
      <c r="K3" s="14" t="s">
        <v>137</v>
      </c>
      <c r="L3" s="13" t="s">
        <v>220</v>
      </c>
      <c r="M3" s="29" t="n">
        <f aca="false">INDEX('Test Results'!$F$2:$F$12,MATCH(K3,'Test Results'!$A$2:$A$12,0))</f>
        <v>36</v>
      </c>
      <c r="N3" s="29" t="n">
        <f aca="false">INDEX('Test Results'!$G$2:$G$12,MATCH(K3,'Test Results'!$A$2:$A$12,0))</f>
        <v>11</v>
      </c>
      <c r="O3" s="14" t="str">
        <f aca="false">IF(J3="Not designed","Control gap",IF(N3=0,"Effective","Ineffective"))</f>
        <v>Ineffective</v>
      </c>
      <c r="P3" s="14" t="s">
        <v>221</v>
      </c>
    </row>
    <row r="4" customFormat="false" ht="35.05" hidden="false" customHeight="false" outlineLevel="0" collapsed="false">
      <c r="A4" s="12" t="s">
        <v>69</v>
      </c>
      <c r="B4" s="14" t="s">
        <v>66</v>
      </c>
      <c r="C4" s="13" t="s">
        <v>222</v>
      </c>
      <c r="D4" s="13" t="s">
        <v>223</v>
      </c>
      <c r="E4" s="13" t="s">
        <v>224</v>
      </c>
      <c r="F4" s="14" t="s">
        <v>210</v>
      </c>
      <c r="G4" s="14" t="s">
        <v>225</v>
      </c>
      <c r="H4" s="14" t="s">
        <v>212</v>
      </c>
      <c r="I4" s="14" t="s">
        <v>213</v>
      </c>
      <c r="J4" s="15" t="s">
        <v>219</v>
      </c>
      <c r="K4" s="14" t="s">
        <v>143</v>
      </c>
      <c r="L4" s="13" t="s">
        <v>226</v>
      </c>
      <c r="M4" s="29" t="n">
        <f aca="false">INDEX('Test Results'!$F$2:$F$12,MATCH(K4,'Test Results'!$A$2:$A$12,0))</f>
        <v>82</v>
      </c>
      <c r="N4" s="29" t="n">
        <f aca="false">INDEX('Test Results'!$G$2:$G$12,MATCH(K4,'Test Results'!$A$2:$A$12,0))</f>
        <v>2</v>
      </c>
      <c r="O4" s="14" t="str">
        <f aca="false">IF(J4="Not designed","Control gap",IF(N4=0,"Effective","Ineffective"))</f>
        <v>Ineffective</v>
      </c>
      <c r="P4" s="14" t="s">
        <v>216</v>
      </c>
    </row>
    <row r="5" customFormat="false" ht="35.05" hidden="false" customHeight="false" outlineLevel="0" collapsed="false">
      <c r="A5" s="12" t="s">
        <v>73</v>
      </c>
      <c r="B5" s="14" t="s">
        <v>71</v>
      </c>
      <c r="C5" s="13" t="s">
        <v>227</v>
      </c>
      <c r="D5" s="13" t="s">
        <v>228</v>
      </c>
      <c r="E5" s="13" t="s">
        <v>224</v>
      </c>
      <c r="F5" s="14" t="s">
        <v>210</v>
      </c>
      <c r="G5" s="14" t="s">
        <v>229</v>
      </c>
      <c r="H5" s="14" t="s">
        <v>212</v>
      </c>
      <c r="I5" s="14" t="s">
        <v>213</v>
      </c>
      <c r="J5" s="15" t="s">
        <v>219</v>
      </c>
      <c r="K5" s="14" t="s">
        <v>149</v>
      </c>
      <c r="L5" s="13" t="s">
        <v>230</v>
      </c>
      <c r="M5" s="29" t="n">
        <f aca="false">INDEX('Test Results'!$F$2:$F$12,MATCH(K5,'Test Results'!$A$2:$A$12,0))</f>
        <v>43</v>
      </c>
      <c r="N5" s="29" t="n">
        <f aca="false">INDEX('Test Results'!$G$2:$G$12,MATCH(K5,'Test Results'!$A$2:$A$12,0))</f>
        <v>4</v>
      </c>
      <c r="O5" s="14" t="str">
        <f aca="false">IF(J5="Not designed","Control gap",IF(N5=0,"Effective","Ineffective"))</f>
        <v>Ineffective</v>
      </c>
      <c r="P5" s="14" t="s">
        <v>216</v>
      </c>
    </row>
    <row r="6" customFormat="false" ht="35.05" hidden="false" customHeight="false" outlineLevel="0" collapsed="false">
      <c r="A6" s="12" t="s">
        <v>78</v>
      </c>
      <c r="B6" s="14" t="s">
        <v>75</v>
      </c>
      <c r="C6" s="13" t="s">
        <v>231</v>
      </c>
      <c r="D6" s="13" t="s">
        <v>232</v>
      </c>
      <c r="E6" s="13" t="s">
        <v>209</v>
      </c>
      <c r="F6" s="14" t="s">
        <v>210</v>
      </c>
      <c r="G6" s="14" t="s">
        <v>225</v>
      </c>
      <c r="H6" s="14" t="s">
        <v>212</v>
      </c>
      <c r="I6" s="14" t="s">
        <v>213</v>
      </c>
      <c r="J6" s="15" t="s">
        <v>219</v>
      </c>
      <c r="K6" s="14" t="s">
        <v>154</v>
      </c>
      <c r="L6" s="13" t="s">
        <v>233</v>
      </c>
      <c r="M6" s="29" t="n">
        <f aca="false">INDEX('Test Results'!$F$2:$F$12,MATCH(K6,'Test Results'!$A$2:$A$12,0))</f>
        <v>192</v>
      </c>
      <c r="N6" s="29" t="n">
        <f aca="false">INDEX('Test Results'!$G$2:$G$12,MATCH(K6,'Test Results'!$A$2:$A$12,0))</f>
        <v>11</v>
      </c>
      <c r="O6" s="14" t="str">
        <f aca="false">IF(J6="Not designed","Control gap",IF(N6=0,"Effective","Ineffective"))</f>
        <v>Ineffective</v>
      </c>
      <c r="P6" s="14" t="s">
        <v>216</v>
      </c>
    </row>
    <row r="7" customFormat="false" ht="35.05" hidden="false" customHeight="false" outlineLevel="0" collapsed="false">
      <c r="A7" s="12" t="s">
        <v>83</v>
      </c>
      <c r="B7" s="14" t="s">
        <v>80</v>
      </c>
      <c r="C7" s="13" t="s">
        <v>234</v>
      </c>
      <c r="D7" s="13" t="s">
        <v>235</v>
      </c>
      <c r="E7" s="13" t="s">
        <v>236</v>
      </c>
      <c r="F7" s="14" t="s">
        <v>210</v>
      </c>
      <c r="G7" s="14" t="s">
        <v>225</v>
      </c>
      <c r="H7" s="14" t="s">
        <v>212</v>
      </c>
      <c r="I7" s="14" t="s">
        <v>213</v>
      </c>
      <c r="J7" s="15" t="s">
        <v>219</v>
      </c>
      <c r="K7" s="14" t="s">
        <v>159</v>
      </c>
      <c r="L7" s="13" t="s">
        <v>237</v>
      </c>
      <c r="M7" s="29" t="n">
        <f aca="false">INDEX('Test Results'!$F$2:$F$12,MATCH(K7,'Test Results'!$A$2:$A$12,0))</f>
        <v>214</v>
      </c>
      <c r="N7" s="29" t="n">
        <f aca="false">INDEX('Test Results'!$G$2:$G$12,MATCH(K7,'Test Results'!$A$2:$A$12,0))</f>
        <v>11</v>
      </c>
      <c r="O7" s="14" t="str">
        <f aca="false">IF(J7="Not designed","Control gap",IF(N7=0,"Effective","Ineffective"))</f>
        <v>Ineffective</v>
      </c>
      <c r="P7" s="14" t="s">
        <v>238</v>
      </c>
    </row>
    <row r="8" customFormat="false" ht="35.05" hidden="false" customHeight="false" outlineLevel="0" collapsed="false">
      <c r="A8" s="12" t="s">
        <v>89</v>
      </c>
      <c r="B8" s="14" t="s">
        <v>85</v>
      </c>
      <c r="C8" s="13" t="s">
        <v>239</v>
      </c>
      <c r="D8" s="13" t="s">
        <v>240</v>
      </c>
      <c r="E8" s="13" t="s">
        <v>241</v>
      </c>
      <c r="F8" s="14" t="s">
        <v>242</v>
      </c>
      <c r="G8" s="14" t="s">
        <v>225</v>
      </c>
      <c r="H8" s="14" t="s">
        <v>243</v>
      </c>
      <c r="I8" s="14" t="s">
        <v>213</v>
      </c>
      <c r="J8" s="15" t="s">
        <v>244</v>
      </c>
      <c r="K8" s="14" t="s">
        <v>165</v>
      </c>
      <c r="L8" s="13" t="s">
        <v>245</v>
      </c>
      <c r="M8" s="29" t="n">
        <f aca="false">INDEX('Test Results'!$F$2:$F$12,MATCH(K8,'Test Results'!$A$2:$A$12,0))</f>
        <v>91</v>
      </c>
      <c r="N8" s="29" t="n">
        <f aca="false">INDEX('Test Results'!$G$2:$G$12,MATCH(K8,'Test Results'!$A$2:$A$12,0))</f>
        <v>5</v>
      </c>
      <c r="O8" s="14" t="str">
        <f aca="false">IF(J8="Not designed","Control gap",IF(N8=0,"Effective","Ineffective"))</f>
        <v>Control gap</v>
      </c>
      <c r="P8" s="14" t="s">
        <v>216</v>
      </c>
    </row>
    <row r="9" customFormat="false" ht="23.85" hidden="false" customHeight="false" outlineLevel="0" collapsed="false">
      <c r="A9" s="12" t="s">
        <v>96</v>
      </c>
      <c r="B9" s="14" t="s">
        <v>91</v>
      </c>
      <c r="C9" s="13" t="s">
        <v>246</v>
      </c>
      <c r="D9" s="13" t="s">
        <v>247</v>
      </c>
      <c r="E9" s="13" t="s">
        <v>248</v>
      </c>
      <c r="F9" s="14" t="s">
        <v>210</v>
      </c>
      <c r="G9" s="14" t="s">
        <v>211</v>
      </c>
      <c r="H9" s="14" t="s">
        <v>212</v>
      </c>
      <c r="I9" s="14" t="s">
        <v>213</v>
      </c>
      <c r="J9" s="15" t="s">
        <v>214</v>
      </c>
      <c r="K9" s="14" t="s">
        <v>170</v>
      </c>
      <c r="L9" s="13" t="s">
        <v>249</v>
      </c>
      <c r="M9" s="29" t="n">
        <f aca="false">INDEX('Test Results'!$F$2:$F$12,MATCH(K9,'Test Results'!$A$2:$A$12,0))</f>
        <v>2679</v>
      </c>
      <c r="N9" s="29" t="n">
        <f aca="false">INDEX('Test Results'!$G$2:$G$12,MATCH(K9,'Test Results'!$A$2:$A$12,0))</f>
        <v>28</v>
      </c>
      <c r="O9" s="14" t="str">
        <f aca="false">IF(J9="Not designed","Control gap",IF(N9=0,"Effective","Ineffective"))</f>
        <v>Ineffective</v>
      </c>
      <c r="P9" s="14" t="s">
        <v>250</v>
      </c>
    </row>
    <row r="10" customFormat="false" ht="35.05" hidden="false" customHeight="false" outlineLevel="0" collapsed="false">
      <c r="A10" s="12" t="s">
        <v>102</v>
      </c>
      <c r="B10" s="14" t="s">
        <v>98</v>
      </c>
      <c r="C10" s="13" t="s">
        <v>251</v>
      </c>
      <c r="D10" s="13" t="s">
        <v>252</v>
      </c>
      <c r="E10" s="13" t="s">
        <v>253</v>
      </c>
      <c r="F10" s="14" t="s">
        <v>210</v>
      </c>
      <c r="G10" s="14" t="s">
        <v>225</v>
      </c>
      <c r="H10" s="14" t="s">
        <v>254</v>
      </c>
      <c r="I10" s="14" t="s">
        <v>213</v>
      </c>
      <c r="J10" s="15" t="s">
        <v>219</v>
      </c>
      <c r="K10" s="14" t="s">
        <v>175</v>
      </c>
      <c r="L10" s="13" t="s">
        <v>255</v>
      </c>
      <c r="M10" s="29" t="n">
        <f aca="false">INDEX('Test Results'!$F$2:$F$12,MATCH(K10,'Test Results'!$A$2:$A$12,0))</f>
        <v>5</v>
      </c>
      <c r="N10" s="29" t="n">
        <f aca="false">INDEX('Test Results'!$G$2:$G$12,MATCH(K10,'Test Results'!$A$2:$A$12,0))</f>
        <v>1</v>
      </c>
      <c r="O10" s="14" t="str">
        <f aca="false">IF(J10="Not designed","Control gap",IF(N10=0,"Effective","Ineffective"))</f>
        <v>Ineffective</v>
      </c>
      <c r="P10" s="14" t="s">
        <v>256</v>
      </c>
    </row>
    <row r="11" customFormat="false" ht="35.05" hidden="false" customHeight="false" outlineLevel="0" collapsed="false">
      <c r="A11" s="12" t="s">
        <v>107</v>
      </c>
      <c r="B11" s="14" t="s">
        <v>104</v>
      </c>
      <c r="C11" s="13" t="s">
        <v>257</v>
      </c>
      <c r="D11" s="13" t="s">
        <v>258</v>
      </c>
      <c r="E11" s="13" t="s">
        <v>259</v>
      </c>
      <c r="F11" s="14" t="s">
        <v>210</v>
      </c>
      <c r="G11" s="14" t="s">
        <v>225</v>
      </c>
      <c r="H11" s="14" t="s">
        <v>254</v>
      </c>
      <c r="I11" s="14" t="s">
        <v>260</v>
      </c>
      <c r="J11" s="15" t="s">
        <v>219</v>
      </c>
      <c r="K11" s="14" t="s">
        <v>186</v>
      </c>
      <c r="L11" s="13" t="s">
        <v>261</v>
      </c>
      <c r="M11" s="29" t="n">
        <f aca="false">INDEX('Test Results'!$F$2:$F$12,MATCH(K11,'Test Results'!$A$2:$A$12,0))</f>
        <v>5</v>
      </c>
      <c r="N11" s="29" t="n">
        <f aca="false">INDEX('Test Results'!$G$2:$G$12,MATCH(K11,'Test Results'!$A$2:$A$12,0))</f>
        <v>1</v>
      </c>
      <c r="O11" s="14" t="str">
        <f aca="false">IF(J11="Not designed","Control gap",IF(N11=0,"Effective","Ineffective"))</f>
        <v>Ineffective</v>
      </c>
      <c r="P11" s="14" t="s">
        <v>216</v>
      </c>
    </row>
    <row r="13" customFormat="false" ht="15" hidden="false" customHeight="false" outlineLevel="0" collapsed="false">
      <c r="A13" s="17" t="s">
        <v>262</v>
      </c>
    </row>
    <row r="14" customFormat="false" ht="15" hidden="false" customHeight="false" outlineLevel="0" collapsed="false">
      <c r="A14" s="17" t="s">
        <v>263</v>
      </c>
    </row>
    <row r="16" customFormat="false" ht="15" hidden="false" customHeight="false" outlineLevel="0" collapsed="false">
      <c r="A16" s="3" t="s">
        <v>264</v>
      </c>
    </row>
    <row r="17" customFormat="false" ht="15" hidden="false" customHeight="false" outlineLevel="0" collapsed="false">
      <c r="B17" s="7" t="s">
        <v>265</v>
      </c>
      <c r="C17" s="7" t="n">
        <f aca="false">COUNTIF(O2:O11,B17)</f>
        <v>0</v>
      </c>
    </row>
    <row r="18" customFormat="false" ht="15" hidden="false" customHeight="false" outlineLevel="0" collapsed="false">
      <c r="B18" s="7" t="s">
        <v>266</v>
      </c>
      <c r="C18" s="7" t="n">
        <f aca="false">COUNTIF(O2:O11,B18)</f>
        <v>9</v>
      </c>
    </row>
    <row r="19" customFormat="false" ht="15" hidden="false" customHeight="false" outlineLevel="0" collapsed="false">
      <c r="B19" s="7" t="s">
        <v>267</v>
      </c>
      <c r="C19" s="7" t="n">
        <f aca="false">COUNTIF(O2:O11,B19)</f>
        <v>1</v>
      </c>
    </row>
  </sheetData>
  <conditionalFormatting sqref="O2:O11">
    <cfRule type="cellIs" priority="2" operator="equal" aboveAverage="0" equalAverage="0" bottom="0" percent="0" rank="0" text="" dxfId="0">
      <formula>"Ineffective"</formula>
    </cfRule>
    <cfRule type="cellIs" priority="3" operator="equal" aboveAverage="0" equalAverage="0" bottom="0" percent="0" rank="0" text="" dxfId="1">
      <formula>"Control gap"</formula>
    </cfRule>
    <cfRule type="cellIs" priority="4" operator="equal" aboveAverage="0" equalAverage="0" bottom="0" percent="0" rank="0" text="" dxfId="2">
      <formula>"Effective"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56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11" t="s">
        <v>268</v>
      </c>
      <c r="B1" s="11" t="s">
        <v>206</v>
      </c>
      <c r="C1" s="11" t="s">
        <v>51</v>
      </c>
      <c r="D1" s="11" t="s">
        <v>269</v>
      </c>
      <c r="E1" s="11" t="s">
        <v>270</v>
      </c>
      <c r="F1" s="11" t="s">
        <v>271</v>
      </c>
      <c r="G1" s="11" t="s">
        <v>272</v>
      </c>
      <c r="H1" s="11" t="s">
        <v>273</v>
      </c>
      <c r="I1" s="11" t="s">
        <v>274</v>
      </c>
      <c r="J1" s="11" t="s">
        <v>275</v>
      </c>
      <c r="K1" s="11" t="s">
        <v>276</v>
      </c>
    </row>
    <row r="2" customFormat="false" ht="35.05" hidden="false" customHeight="false" outlineLevel="0" collapsed="false">
      <c r="A2" s="12" t="s">
        <v>216</v>
      </c>
      <c r="B2" s="13" t="s">
        <v>277</v>
      </c>
      <c r="C2" s="14" t="s">
        <v>114</v>
      </c>
      <c r="D2" s="13" t="s">
        <v>278</v>
      </c>
      <c r="E2" s="13" t="s">
        <v>279</v>
      </c>
      <c r="F2" s="13" t="s">
        <v>280</v>
      </c>
      <c r="G2" s="30" t="n">
        <v>11675500</v>
      </c>
      <c r="H2" s="13" t="s">
        <v>147</v>
      </c>
      <c r="I2" s="13" t="s">
        <v>281</v>
      </c>
      <c r="J2" s="13" t="s">
        <v>209</v>
      </c>
      <c r="K2" s="14" t="s">
        <v>282</v>
      </c>
    </row>
    <row r="3" customFormat="false" ht="35.05" hidden="false" customHeight="false" outlineLevel="0" collapsed="false">
      <c r="A3" s="12" t="s">
        <v>256</v>
      </c>
      <c r="B3" s="13" t="s">
        <v>283</v>
      </c>
      <c r="C3" s="14" t="s">
        <v>114</v>
      </c>
      <c r="D3" s="13" t="s">
        <v>284</v>
      </c>
      <c r="E3" s="13" t="s">
        <v>285</v>
      </c>
      <c r="F3" s="13" t="s">
        <v>286</v>
      </c>
      <c r="G3" s="30" t="n">
        <v>8066200</v>
      </c>
      <c r="H3" s="13" t="s">
        <v>287</v>
      </c>
      <c r="I3" s="13" t="s">
        <v>288</v>
      </c>
      <c r="J3" s="13" t="s">
        <v>253</v>
      </c>
      <c r="K3" s="14" t="s">
        <v>289</v>
      </c>
    </row>
    <row r="4" customFormat="false" ht="35.05" hidden="false" customHeight="false" outlineLevel="0" collapsed="false">
      <c r="A4" s="12" t="s">
        <v>238</v>
      </c>
      <c r="B4" s="13" t="s">
        <v>290</v>
      </c>
      <c r="C4" s="14" t="s">
        <v>114</v>
      </c>
      <c r="D4" s="13" t="s">
        <v>80</v>
      </c>
      <c r="E4" s="13" t="s">
        <v>83</v>
      </c>
      <c r="F4" s="13" t="s">
        <v>159</v>
      </c>
      <c r="G4" s="30" t="n">
        <v>29531100</v>
      </c>
      <c r="H4" s="13" t="s">
        <v>291</v>
      </c>
      <c r="I4" s="13" t="s">
        <v>292</v>
      </c>
      <c r="J4" s="13" t="s">
        <v>209</v>
      </c>
      <c r="K4" s="14" t="s">
        <v>282</v>
      </c>
    </row>
    <row r="5" customFormat="false" ht="23.85" hidden="false" customHeight="false" outlineLevel="0" collapsed="false">
      <c r="A5" s="12" t="s">
        <v>250</v>
      </c>
      <c r="B5" s="13" t="s">
        <v>293</v>
      </c>
      <c r="C5" s="14" t="s">
        <v>115</v>
      </c>
      <c r="D5" s="13" t="s">
        <v>91</v>
      </c>
      <c r="E5" s="13" t="s">
        <v>96</v>
      </c>
      <c r="F5" s="13" t="s">
        <v>170</v>
      </c>
      <c r="G5" s="30" t="n">
        <v>0</v>
      </c>
      <c r="H5" s="13" t="s">
        <v>173</v>
      </c>
      <c r="I5" s="13" t="s">
        <v>294</v>
      </c>
      <c r="J5" s="13" t="s">
        <v>295</v>
      </c>
      <c r="K5" s="14" t="s">
        <v>296</v>
      </c>
    </row>
    <row r="6" customFormat="false" ht="23.85" hidden="false" customHeight="false" outlineLevel="0" collapsed="false">
      <c r="A6" s="12" t="s">
        <v>297</v>
      </c>
      <c r="B6" s="13" t="s">
        <v>298</v>
      </c>
      <c r="C6" s="14" t="s">
        <v>116</v>
      </c>
      <c r="D6" s="13" t="s">
        <v>75</v>
      </c>
      <c r="E6" s="13" t="s">
        <v>78</v>
      </c>
      <c r="F6" s="13" t="s">
        <v>154</v>
      </c>
      <c r="G6" s="30" t="n">
        <v>0</v>
      </c>
      <c r="H6" s="13" t="s">
        <v>299</v>
      </c>
      <c r="I6" s="13" t="s">
        <v>300</v>
      </c>
      <c r="J6" s="13" t="s">
        <v>259</v>
      </c>
      <c r="K6" s="14" t="s">
        <v>296</v>
      </c>
    </row>
    <row r="8" customFormat="false" ht="15" hidden="false" customHeight="false" outlineLevel="0" collapsed="false">
      <c r="A8" s="17" t="s">
        <v>301</v>
      </c>
    </row>
    <row r="10" customFormat="false" ht="15" hidden="false" customHeight="false" outlineLevel="0" collapsed="false">
      <c r="A10" s="3" t="s">
        <v>302</v>
      </c>
    </row>
    <row r="11" customFormat="false" ht="15" hidden="false" customHeight="false" outlineLevel="0" collapsed="false">
      <c r="B11" s="7" t="s">
        <v>114</v>
      </c>
      <c r="C11" s="7" t="n">
        <f aca="false">COUNTIF(C$2:C$6,B11)</f>
        <v>3</v>
      </c>
    </row>
    <row r="12" customFormat="false" ht="15" hidden="false" customHeight="false" outlineLevel="0" collapsed="false">
      <c r="B12" s="7" t="s">
        <v>115</v>
      </c>
      <c r="C12" s="7" t="n">
        <f aca="false">COUNTIF(C$2:C$6,B12)</f>
        <v>1</v>
      </c>
    </row>
    <row r="13" customFormat="false" ht="15" hidden="false" customHeight="false" outlineLevel="0" collapsed="false">
      <c r="B13" s="7" t="s">
        <v>116</v>
      </c>
      <c r="C13" s="7" t="n">
        <f aca="false">COUNTIF(C$2:C$6,B13)</f>
        <v>1</v>
      </c>
    </row>
  </sheetData>
  <conditionalFormatting sqref="C2:C6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2026-09-29T04:06:59Z</dcterms:created>
  <dc:creator>openpyxl</dc:creator>
  <dc:description/>
  <dc:language>en-US</dc:language>
  <cp:lastModifiedBy/>
  <dcterms:modified xsi:type="dcterms:W3CDTF">2026-09-29T04:06:59Z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